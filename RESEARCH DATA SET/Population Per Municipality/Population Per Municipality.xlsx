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DENGUE_PREDICTIONV2\RESEARCH DATA SET\Population Per Municipality\"/>
    </mc:Choice>
  </mc:AlternateContent>
  <xr:revisionPtr revIDLastSave="0" documentId="13_ncr:1_{E304F7E7-E2E9-4354-B6F7-5C592DCC8DD6}" xr6:coauthVersionLast="47" xr6:coauthVersionMax="47" xr10:uidLastSave="{00000000-0000-0000-0000-000000000000}"/>
  <bookViews>
    <workbookView xWindow="-120" yWindow="-120" windowWidth="29040" windowHeight="15720" tabRatio="876" xr2:uid="{00000000-000D-0000-FFFF-FFFF00000000}"/>
  </bookViews>
  <sheets>
    <sheet name="R04A" sheetId="48" r:id="rId1"/>
  </sheets>
  <definedNames>
    <definedName name="_xlnm.Print_Area" localSheetId="0">'R04A'!$A$1:$J$175</definedName>
    <definedName name="_xlnm.Print_Titles" localSheetId="0">'R04A'!$1:$6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0" i="48" l="1"/>
  <c r="I160" i="48"/>
  <c r="H160" i="48"/>
  <c r="G160" i="48"/>
  <c r="J159" i="48"/>
  <c r="I159" i="48"/>
  <c r="H159" i="48"/>
  <c r="G159" i="48"/>
  <c r="J158" i="48"/>
  <c r="I158" i="48"/>
  <c r="H158" i="48"/>
  <c r="G158" i="48"/>
  <c r="J157" i="48"/>
  <c r="I157" i="48"/>
  <c r="H157" i="48"/>
  <c r="G157" i="48"/>
  <c r="J156" i="48"/>
  <c r="I156" i="48"/>
  <c r="H156" i="48"/>
  <c r="G156" i="48"/>
  <c r="J155" i="48"/>
  <c r="I155" i="48"/>
  <c r="H155" i="48"/>
  <c r="G155" i="48"/>
  <c r="J154" i="48"/>
  <c r="I154" i="48"/>
  <c r="H154" i="48"/>
  <c r="G154" i="48"/>
  <c r="J153" i="48"/>
  <c r="I153" i="48"/>
  <c r="H153" i="48"/>
  <c r="G153" i="48"/>
  <c r="J152" i="48"/>
  <c r="I152" i="48"/>
  <c r="H152" i="48"/>
  <c r="G152" i="48"/>
  <c r="J151" i="48"/>
  <c r="I151" i="48"/>
  <c r="H151" i="48"/>
  <c r="G151" i="48"/>
  <c r="J150" i="48"/>
  <c r="I150" i="48"/>
  <c r="H150" i="48"/>
  <c r="G150" i="48"/>
  <c r="J149" i="48"/>
  <c r="I149" i="48"/>
  <c r="H149" i="48"/>
  <c r="G149" i="48"/>
  <c r="J148" i="48"/>
  <c r="I148" i="48"/>
  <c r="H148" i="48"/>
  <c r="G148" i="48"/>
  <c r="J147" i="48"/>
  <c r="I147" i="48"/>
  <c r="H147" i="48"/>
  <c r="G147" i="48"/>
  <c r="F146" i="48"/>
  <c r="E146" i="48"/>
  <c r="D146" i="48"/>
  <c r="C146" i="48"/>
  <c r="J144" i="48"/>
  <c r="I144" i="48"/>
  <c r="H144" i="48"/>
  <c r="G144" i="48"/>
  <c r="J142" i="48"/>
  <c r="I142" i="48"/>
  <c r="H142" i="48"/>
  <c r="G142" i="48"/>
  <c r="J141" i="48"/>
  <c r="I141" i="48"/>
  <c r="H141" i="48"/>
  <c r="G141" i="48"/>
  <c r="J140" i="48"/>
  <c r="I140" i="48"/>
  <c r="H140" i="48"/>
  <c r="G140" i="48"/>
  <c r="J139" i="48"/>
  <c r="I139" i="48"/>
  <c r="H139" i="48"/>
  <c r="G139" i="48"/>
  <c r="J138" i="48"/>
  <c r="I138" i="48"/>
  <c r="H138" i="48"/>
  <c r="G138" i="48"/>
  <c r="J137" i="48"/>
  <c r="I137" i="48"/>
  <c r="H137" i="48"/>
  <c r="G137" i="48"/>
  <c r="J136" i="48"/>
  <c r="I136" i="48"/>
  <c r="H136" i="48"/>
  <c r="G136" i="48"/>
  <c r="J135" i="48"/>
  <c r="I135" i="48"/>
  <c r="H135" i="48"/>
  <c r="G135" i="48"/>
  <c r="J134" i="48"/>
  <c r="I134" i="48"/>
  <c r="H134" i="48"/>
  <c r="G134" i="48"/>
  <c r="J133" i="48"/>
  <c r="I133" i="48"/>
  <c r="H133" i="48"/>
  <c r="G133" i="48"/>
  <c r="J132" i="48"/>
  <c r="I132" i="48"/>
  <c r="H132" i="48"/>
  <c r="G132" i="48"/>
  <c r="J131" i="48"/>
  <c r="I131" i="48"/>
  <c r="H131" i="48"/>
  <c r="G131" i="48"/>
  <c r="J130" i="48"/>
  <c r="I130" i="48"/>
  <c r="H130" i="48"/>
  <c r="G130" i="48"/>
  <c r="J129" i="48"/>
  <c r="I129" i="48"/>
  <c r="H129" i="48"/>
  <c r="G129" i="48"/>
  <c r="J128" i="48"/>
  <c r="I128" i="48"/>
  <c r="H128" i="48"/>
  <c r="G128" i="48"/>
  <c r="J127" i="48"/>
  <c r="I127" i="48"/>
  <c r="H127" i="48"/>
  <c r="G127" i="48"/>
  <c r="J126" i="48"/>
  <c r="I126" i="48"/>
  <c r="H126" i="48"/>
  <c r="G126" i="48"/>
  <c r="J125" i="48"/>
  <c r="I125" i="48"/>
  <c r="H125" i="48"/>
  <c r="G125" i="48"/>
  <c r="J124" i="48"/>
  <c r="I124" i="48"/>
  <c r="H124" i="48"/>
  <c r="G124" i="48"/>
  <c r="J123" i="48"/>
  <c r="I123" i="48"/>
  <c r="H123" i="48"/>
  <c r="G123" i="48"/>
  <c r="J122" i="48"/>
  <c r="I122" i="48"/>
  <c r="H122" i="48"/>
  <c r="G122" i="48"/>
  <c r="J121" i="48"/>
  <c r="I121" i="48"/>
  <c r="H121" i="48"/>
  <c r="G121" i="48"/>
  <c r="J120" i="48"/>
  <c r="I120" i="48"/>
  <c r="H120" i="48"/>
  <c r="G120" i="48"/>
  <c r="J119" i="48"/>
  <c r="I119" i="48"/>
  <c r="H119" i="48"/>
  <c r="G119" i="48"/>
  <c r="J118" i="48"/>
  <c r="I118" i="48"/>
  <c r="H118" i="48"/>
  <c r="G118" i="48"/>
  <c r="J117" i="48"/>
  <c r="I117" i="48"/>
  <c r="H117" i="48"/>
  <c r="G117" i="48"/>
  <c r="J116" i="48"/>
  <c r="I116" i="48"/>
  <c r="H116" i="48"/>
  <c r="G116" i="48"/>
  <c r="J115" i="48"/>
  <c r="I115" i="48"/>
  <c r="H115" i="48"/>
  <c r="G115" i="48"/>
  <c r="J114" i="48"/>
  <c r="I114" i="48"/>
  <c r="H114" i="48"/>
  <c r="G114" i="48"/>
  <c r="J113" i="48"/>
  <c r="I113" i="48"/>
  <c r="H113" i="48"/>
  <c r="G113" i="48"/>
  <c r="J112" i="48"/>
  <c r="I112" i="48"/>
  <c r="H112" i="48"/>
  <c r="G112" i="48"/>
  <c r="J111" i="48"/>
  <c r="I111" i="48"/>
  <c r="H111" i="48"/>
  <c r="G111" i="48"/>
  <c r="J110" i="48"/>
  <c r="I110" i="48"/>
  <c r="H110" i="48"/>
  <c r="G110" i="48"/>
  <c r="J109" i="48"/>
  <c r="I109" i="48"/>
  <c r="H109" i="48"/>
  <c r="G109" i="48"/>
  <c r="J108" i="48"/>
  <c r="I108" i="48"/>
  <c r="H108" i="48"/>
  <c r="G108" i="48"/>
  <c r="J107" i="48"/>
  <c r="I107" i="48"/>
  <c r="H107" i="48"/>
  <c r="G107" i="48"/>
  <c r="J106" i="48"/>
  <c r="I106" i="48"/>
  <c r="H106" i="48"/>
  <c r="G106" i="48"/>
  <c r="J105" i="48"/>
  <c r="I105" i="48"/>
  <c r="H105" i="48"/>
  <c r="G105" i="48"/>
  <c r="J104" i="48"/>
  <c r="I104" i="48"/>
  <c r="H104" i="48"/>
  <c r="G104" i="48"/>
  <c r="J103" i="48"/>
  <c r="I103" i="48"/>
  <c r="H103" i="48"/>
  <c r="G103" i="48"/>
  <c r="F102" i="48"/>
  <c r="E102" i="48"/>
  <c r="D102" i="48"/>
  <c r="C102" i="48"/>
  <c r="J100" i="48"/>
  <c r="I100" i="48"/>
  <c r="H100" i="48"/>
  <c r="G100" i="48"/>
  <c r="J99" i="48"/>
  <c r="I99" i="48"/>
  <c r="H99" i="48"/>
  <c r="G99" i="48"/>
  <c r="J98" i="48"/>
  <c r="I98" i="48"/>
  <c r="H98" i="48"/>
  <c r="G98" i="48"/>
  <c r="J97" i="48"/>
  <c r="I97" i="48"/>
  <c r="H97" i="48"/>
  <c r="G97" i="48"/>
  <c r="J96" i="48"/>
  <c r="I96" i="48"/>
  <c r="H96" i="48"/>
  <c r="G96" i="48"/>
  <c r="J95" i="48"/>
  <c r="I95" i="48"/>
  <c r="H95" i="48"/>
  <c r="G95" i="48"/>
  <c r="J94" i="48"/>
  <c r="I94" i="48"/>
  <c r="H94" i="48"/>
  <c r="G94" i="48"/>
  <c r="J93" i="48"/>
  <c r="I93" i="48"/>
  <c r="H93" i="48"/>
  <c r="G93" i="48"/>
  <c r="J92" i="48"/>
  <c r="I92" i="48"/>
  <c r="H92" i="48"/>
  <c r="G92" i="48"/>
  <c r="J91" i="48"/>
  <c r="I91" i="48"/>
  <c r="H91" i="48"/>
  <c r="G91" i="48"/>
  <c r="J90" i="48"/>
  <c r="I90" i="48"/>
  <c r="H90" i="48"/>
  <c r="G90" i="48"/>
  <c r="J89" i="48"/>
  <c r="I89" i="48"/>
  <c r="H89" i="48"/>
  <c r="G89" i="48"/>
  <c r="J88" i="48"/>
  <c r="I88" i="48"/>
  <c r="H88" i="48"/>
  <c r="G88" i="48"/>
  <c r="J87" i="48"/>
  <c r="I87" i="48"/>
  <c r="H87" i="48"/>
  <c r="G87" i="48"/>
  <c r="J86" i="48"/>
  <c r="I86" i="48"/>
  <c r="H86" i="48"/>
  <c r="G86" i="48"/>
  <c r="J85" i="48"/>
  <c r="I85" i="48"/>
  <c r="H85" i="48"/>
  <c r="G85" i="48"/>
  <c r="J84" i="48"/>
  <c r="I84" i="48"/>
  <c r="H84" i="48"/>
  <c r="G84" i="48"/>
  <c r="J83" i="48"/>
  <c r="I83" i="48"/>
  <c r="H83" i="48"/>
  <c r="G83" i="48"/>
  <c r="J82" i="48"/>
  <c r="I82" i="48"/>
  <c r="H82" i="48"/>
  <c r="G82" i="48"/>
  <c r="J81" i="48"/>
  <c r="I81" i="48"/>
  <c r="H81" i="48"/>
  <c r="G81" i="48"/>
  <c r="J80" i="48"/>
  <c r="I80" i="48"/>
  <c r="H80" i="48"/>
  <c r="G80" i="48"/>
  <c r="J79" i="48"/>
  <c r="I79" i="48"/>
  <c r="H79" i="48"/>
  <c r="G79" i="48"/>
  <c r="J78" i="48"/>
  <c r="I78" i="48"/>
  <c r="H78" i="48"/>
  <c r="G78" i="48"/>
  <c r="J77" i="48"/>
  <c r="I77" i="48"/>
  <c r="H77" i="48"/>
  <c r="G77" i="48"/>
  <c r="J76" i="48"/>
  <c r="I76" i="48"/>
  <c r="H76" i="48"/>
  <c r="G76" i="48"/>
  <c r="J75" i="48"/>
  <c r="I75" i="48"/>
  <c r="H75" i="48"/>
  <c r="G75" i="48"/>
  <c r="J74" i="48"/>
  <c r="I74" i="48"/>
  <c r="H74" i="48"/>
  <c r="G74" i="48"/>
  <c r="J73" i="48"/>
  <c r="I73" i="48"/>
  <c r="H73" i="48"/>
  <c r="G73" i="48"/>
  <c r="J72" i="48"/>
  <c r="I72" i="48"/>
  <c r="H72" i="48"/>
  <c r="G72" i="48"/>
  <c r="J71" i="48"/>
  <c r="I71" i="48"/>
  <c r="H71" i="48"/>
  <c r="G71" i="48"/>
  <c r="F70" i="48"/>
  <c r="E70" i="48"/>
  <c r="D70" i="48"/>
  <c r="C70" i="48"/>
  <c r="J68" i="48"/>
  <c r="I68" i="48"/>
  <c r="H68" i="48"/>
  <c r="G68" i="48"/>
  <c r="J67" i="48"/>
  <c r="I67" i="48"/>
  <c r="H67" i="48"/>
  <c r="G67" i="48"/>
  <c r="J66" i="48"/>
  <c r="I66" i="48"/>
  <c r="H66" i="48"/>
  <c r="G66" i="48"/>
  <c r="J65" i="48"/>
  <c r="I65" i="48"/>
  <c r="H65" i="48"/>
  <c r="G65" i="48"/>
  <c r="J64" i="48"/>
  <c r="I64" i="48"/>
  <c r="H64" i="48"/>
  <c r="G64" i="48"/>
  <c r="J63" i="48"/>
  <c r="I63" i="48"/>
  <c r="H63" i="48"/>
  <c r="G63" i="48"/>
  <c r="J62" i="48"/>
  <c r="I62" i="48"/>
  <c r="H62" i="48"/>
  <c r="G62" i="48"/>
  <c r="J61" i="48"/>
  <c r="I61" i="48"/>
  <c r="H61" i="48"/>
  <c r="G61" i="48"/>
  <c r="J60" i="48"/>
  <c r="I60" i="48"/>
  <c r="H60" i="48"/>
  <c r="G60" i="48"/>
  <c r="J59" i="48"/>
  <c r="I59" i="48"/>
  <c r="H59" i="48"/>
  <c r="G59" i="48"/>
  <c r="J58" i="48"/>
  <c r="I58" i="48"/>
  <c r="H58" i="48"/>
  <c r="G58" i="48"/>
  <c r="J57" i="48"/>
  <c r="I57" i="48"/>
  <c r="H57" i="48"/>
  <c r="G57" i="48"/>
  <c r="J56" i="48"/>
  <c r="I56" i="48"/>
  <c r="H56" i="48"/>
  <c r="G56" i="48"/>
  <c r="J55" i="48"/>
  <c r="I55" i="48"/>
  <c r="H55" i="48"/>
  <c r="G55" i="48"/>
  <c r="J54" i="48"/>
  <c r="I54" i="48"/>
  <c r="H54" i="48"/>
  <c r="G54" i="48"/>
  <c r="J53" i="48"/>
  <c r="I53" i="48"/>
  <c r="H53" i="48"/>
  <c r="G53" i="48"/>
  <c r="J52" i="48"/>
  <c r="I52" i="48"/>
  <c r="H52" i="48"/>
  <c r="G52" i="48"/>
  <c r="J51" i="48"/>
  <c r="I51" i="48"/>
  <c r="H51" i="48"/>
  <c r="G51" i="48"/>
  <c r="J50" i="48"/>
  <c r="I50" i="48"/>
  <c r="H50" i="48"/>
  <c r="G50" i="48"/>
  <c r="J49" i="48"/>
  <c r="I49" i="48"/>
  <c r="H49" i="48"/>
  <c r="G49" i="48"/>
  <c r="J48" i="48"/>
  <c r="I48" i="48"/>
  <c r="H48" i="48"/>
  <c r="G48" i="48"/>
  <c r="J47" i="48"/>
  <c r="I47" i="48"/>
  <c r="H47" i="48"/>
  <c r="G47" i="48"/>
  <c r="J46" i="48"/>
  <c r="I46" i="48"/>
  <c r="H46" i="48"/>
  <c r="G46" i="48"/>
  <c r="F45" i="48"/>
  <c r="I45" i="48" s="1"/>
  <c r="E45" i="48"/>
  <c r="D45" i="48"/>
  <c r="C45" i="48"/>
  <c r="J43" i="48"/>
  <c r="I43" i="48"/>
  <c r="H43" i="48"/>
  <c r="G43" i="48"/>
  <c r="J42" i="48"/>
  <c r="I42" i="48"/>
  <c r="H42" i="48"/>
  <c r="G42" i="48"/>
  <c r="J41" i="48"/>
  <c r="I41" i="48"/>
  <c r="H41" i="48"/>
  <c r="G41" i="48"/>
  <c r="J40" i="48"/>
  <c r="I40" i="48"/>
  <c r="H40" i="48"/>
  <c r="G40" i="48"/>
  <c r="J39" i="48"/>
  <c r="I39" i="48"/>
  <c r="H39" i="48"/>
  <c r="G39" i="48"/>
  <c r="J38" i="48"/>
  <c r="I38" i="48"/>
  <c r="H38" i="48"/>
  <c r="G38" i="48"/>
  <c r="J37" i="48"/>
  <c r="I37" i="48"/>
  <c r="H37" i="48"/>
  <c r="G37" i="48"/>
  <c r="J36" i="48"/>
  <c r="I36" i="48"/>
  <c r="H36" i="48"/>
  <c r="G36" i="48"/>
  <c r="J35" i="48"/>
  <c r="I35" i="48"/>
  <c r="H35" i="48"/>
  <c r="G35" i="48"/>
  <c r="J34" i="48"/>
  <c r="I34" i="48"/>
  <c r="H34" i="48"/>
  <c r="G34" i="48"/>
  <c r="J33" i="48"/>
  <c r="I33" i="48"/>
  <c r="H33" i="48"/>
  <c r="G33" i="48"/>
  <c r="J32" i="48"/>
  <c r="I32" i="48"/>
  <c r="H32" i="48"/>
  <c r="G32" i="48"/>
  <c r="J31" i="48"/>
  <c r="I31" i="48"/>
  <c r="H31" i="48"/>
  <c r="G31" i="48"/>
  <c r="J30" i="48"/>
  <c r="I30" i="48"/>
  <c r="H30" i="48"/>
  <c r="G30" i="48"/>
  <c r="J29" i="48"/>
  <c r="I29" i="48"/>
  <c r="H29" i="48"/>
  <c r="G29" i="48"/>
  <c r="J28" i="48"/>
  <c r="I28" i="48"/>
  <c r="H28" i="48"/>
  <c r="G28" i="48"/>
  <c r="J27" i="48"/>
  <c r="I27" i="48"/>
  <c r="H27" i="48"/>
  <c r="G27" i="48"/>
  <c r="J26" i="48"/>
  <c r="I26" i="48"/>
  <c r="H26" i="48"/>
  <c r="G26" i="48"/>
  <c r="J25" i="48"/>
  <c r="I25" i="48"/>
  <c r="H25" i="48"/>
  <c r="G25" i="48"/>
  <c r="J24" i="48"/>
  <c r="I24" i="48"/>
  <c r="H24" i="48"/>
  <c r="G24" i="48"/>
  <c r="J23" i="48"/>
  <c r="I23" i="48"/>
  <c r="H23" i="48"/>
  <c r="G23" i="48"/>
  <c r="J22" i="48"/>
  <c r="I22" i="48"/>
  <c r="H22" i="48"/>
  <c r="G22" i="48"/>
  <c r="J21" i="48"/>
  <c r="I21" i="48"/>
  <c r="H21" i="48"/>
  <c r="G21" i="48"/>
  <c r="J20" i="48"/>
  <c r="I20" i="48"/>
  <c r="H20" i="48"/>
  <c r="G20" i="48"/>
  <c r="J19" i="48"/>
  <c r="I19" i="48"/>
  <c r="H19" i="48"/>
  <c r="G19" i="48"/>
  <c r="J18" i="48"/>
  <c r="I18" i="48"/>
  <c r="H18" i="48"/>
  <c r="G18" i="48"/>
  <c r="J17" i="48"/>
  <c r="I17" i="48"/>
  <c r="H17" i="48"/>
  <c r="G17" i="48"/>
  <c r="J16" i="48"/>
  <c r="I16" i="48"/>
  <c r="H16" i="48"/>
  <c r="G16" i="48"/>
  <c r="J15" i="48"/>
  <c r="I15" i="48"/>
  <c r="H15" i="48"/>
  <c r="G15" i="48"/>
  <c r="J14" i="48"/>
  <c r="I14" i="48"/>
  <c r="H14" i="48"/>
  <c r="G14" i="48"/>
  <c r="J13" i="48"/>
  <c r="I13" i="48"/>
  <c r="H13" i="48"/>
  <c r="G13" i="48"/>
  <c r="J12" i="48"/>
  <c r="I12" i="48"/>
  <c r="H12" i="48"/>
  <c r="G12" i="48"/>
  <c r="J11" i="48"/>
  <c r="I11" i="48"/>
  <c r="H11" i="48"/>
  <c r="G11" i="48"/>
  <c r="J10" i="48"/>
  <c r="I10" i="48"/>
  <c r="H10" i="48"/>
  <c r="G10" i="48"/>
  <c r="F9" i="48"/>
  <c r="F7" i="48" s="1"/>
  <c r="E9" i="48"/>
  <c r="D9" i="48"/>
  <c r="C9" i="48"/>
  <c r="G45" i="48" l="1"/>
  <c r="H146" i="48"/>
  <c r="G9" i="48"/>
  <c r="D7" i="48"/>
  <c r="G7" i="48" s="1"/>
  <c r="E7" i="48"/>
  <c r="H7" i="48" s="1"/>
  <c r="H102" i="48"/>
  <c r="J146" i="48"/>
  <c r="C7" i="48"/>
  <c r="J102" i="48"/>
  <c r="H9" i="48"/>
  <c r="H45" i="48"/>
  <c r="J45" i="48"/>
  <c r="J7" i="48"/>
  <c r="I7" i="48"/>
  <c r="G70" i="48"/>
  <c r="G102" i="48"/>
  <c r="G146" i="48"/>
  <c r="I9" i="48"/>
  <c r="H70" i="48"/>
  <c r="J9" i="48"/>
  <c r="I70" i="48"/>
  <c r="I102" i="48"/>
  <c r="I146" i="48"/>
  <c r="J70" i="48"/>
</calcChain>
</file>

<file path=xl/sharedStrings.xml><?xml version="1.0" encoding="utf-8"?>
<sst xmlns="http://schemas.openxmlformats.org/spreadsheetml/2006/main" count="165" uniqueCount="163">
  <si>
    <t>MALVAR</t>
  </si>
  <si>
    <t>NASUGBU</t>
  </si>
  <si>
    <t>PADRE GARCIA</t>
  </si>
  <si>
    <t>SAN PASCUAL</t>
  </si>
  <si>
    <t>TAAL</t>
  </si>
  <si>
    <t>TALISAY</t>
  </si>
  <si>
    <t>CITY OF TANAUAN</t>
  </si>
  <si>
    <t>TAYSAN</t>
  </si>
  <si>
    <t>TINGLOY</t>
  </si>
  <si>
    <t>TUY</t>
  </si>
  <si>
    <t>ALFONSO</t>
  </si>
  <si>
    <t>AMADEO</t>
  </si>
  <si>
    <t>CARMONA</t>
  </si>
  <si>
    <t>GENERAL EMILIO AGUINALDO</t>
  </si>
  <si>
    <t>SAN ANTONIO</t>
  </si>
  <si>
    <t>SAN LUIS</t>
  </si>
  <si>
    <t>AGONCILLO</t>
  </si>
  <si>
    <t>ALITAGTAG</t>
  </si>
  <si>
    <t>BALAYAN</t>
  </si>
  <si>
    <t>BALETE</t>
  </si>
  <si>
    <t>BATANGAS CITY (Capital)</t>
  </si>
  <si>
    <t>BAUAN</t>
  </si>
  <si>
    <t>CALACA</t>
  </si>
  <si>
    <t>CALATAGAN</t>
  </si>
  <si>
    <t>CUENCA</t>
  </si>
  <si>
    <t>IBAAN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</si>
  <si>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</si>
  <si>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</si>
  <si>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</si>
  <si>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</si>
  <si>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</si>
  <si>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</si>
  <si>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</si>
  <si>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</si>
  <si>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TANZA</t>
  </si>
  <si>
    <t>TERNATE</t>
  </si>
  <si>
    <t>GEN. MARIANO ALVAREZ</t>
  </si>
  <si>
    <t>ALAMINOS</t>
  </si>
  <si>
    <t>BAY</t>
  </si>
  <si>
    <t>CITY OF CALAMBA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</si>
  <si>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</si>
  <si>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</si>
  <si>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</si>
  <si>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</si>
  <si>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</si>
  <si>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</si>
  <si>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</si>
  <si>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</si>
  <si>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</si>
  <si>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PILILLA</t>
  </si>
  <si>
    <t>TANAY</t>
  </si>
  <si>
    <t>TAYTAY</t>
  </si>
  <si>
    <t>TERESA</t>
  </si>
  <si>
    <t>MATAASNAKAHOY</t>
  </si>
  <si>
    <t>SANTA MARIA</t>
  </si>
  <si>
    <t>SANTA TERESITA</t>
  </si>
  <si>
    <t>SAN MATEO</t>
  </si>
  <si>
    <t>RODRIGUEZ (MONTALBAN)</t>
  </si>
  <si>
    <t>CITY OF DASMARIÑAS</t>
  </si>
  <si>
    <t>LAUREL</t>
  </si>
  <si>
    <t>LEMERY</t>
  </si>
  <si>
    <t>LIAN</t>
  </si>
  <si>
    <t>LOBO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</si>
  <si>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</si>
  <si>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</si>
  <si>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</si>
  <si>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</si>
  <si>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</si>
  <si>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</si>
  <si>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</si>
  <si>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</si>
  <si>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SANTA CRUZ (Capital)</t>
  </si>
  <si>
    <t>CITY OF SANTA ROSA</t>
  </si>
  <si>
    <t>SINILOAN</t>
  </si>
  <si>
    <t>AGDANGAN</t>
  </si>
  <si>
    <t>ALABAT</t>
  </si>
  <si>
    <t>ATIMONAN</t>
  </si>
  <si>
    <t>BUENAVISTA</t>
  </si>
  <si>
    <t>BURDEOS</t>
  </si>
  <si>
    <t>CALAUAG</t>
  </si>
  <si>
    <t>CATANAUAN</t>
  </si>
  <si>
    <t>DOLORES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</si>
  <si>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</si>
  <si>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</si>
  <si>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</si>
  <si>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</si>
  <si>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</si>
  <si>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</si>
  <si>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</si>
  <si>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</si>
  <si>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</si>
  <si>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</si>
  <si>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</si>
  <si>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</si>
  <si>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</si>
  <si>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</si>
  <si>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</si>
  <si>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</si>
  <si>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</si>
  <si>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</si>
  <si>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</si>
  <si>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</si>
  <si>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 (AURORA)</t>
  </si>
  <si>
    <t>SARIAYA</t>
  </si>
  <si>
    <t>TAGKAWAYAN</t>
  </si>
  <si>
    <t>TIAONG</t>
  </si>
  <si>
    <t>UNISAN</t>
  </si>
  <si>
    <t>ANGONO</t>
  </si>
  <si>
    <t>BARAS</t>
  </si>
  <si>
    <t>REGION IV-A (CALABARZON)</t>
  </si>
  <si>
    <t>BINANGONAN</t>
  </si>
  <si>
    <t>CAINTA</t>
  </si>
  <si>
    <t>CARDONA</t>
  </si>
  <si>
    <t>JALA-JALA</t>
  </si>
  <si>
    <t>MORONG</t>
  </si>
  <si>
    <t>PLARIDEL</t>
  </si>
  <si>
    <t>CITY OF TAYABAS</t>
  </si>
  <si>
    <t>INFANTA</t>
  </si>
  <si>
    <t>MABINI</t>
  </si>
  <si>
    <t>BATANGAS</t>
  </si>
  <si>
    <t>CAVITE</t>
  </si>
  <si>
    <t>LAGUNA</t>
  </si>
  <si>
    <t>QUEZON</t>
  </si>
  <si>
    <t>RIZAL</t>
  </si>
  <si>
    <t>CITY OF BIÑAN</t>
  </si>
  <si>
    <t>VICTORIA</t>
  </si>
  <si>
    <t>SAN JOSE</t>
  </si>
  <si>
    <t>CANDELARIA</t>
  </si>
  <si>
    <t>SAN NARCISO</t>
  </si>
  <si>
    <t>SAN NICOLAS</t>
  </si>
  <si>
    <t>ROSARIO</t>
  </si>
  <si>
    <t>SAN JUAN</t>
  </si>
  <si>
    <t>TOTAL POPULATION</t>
  </si>
  <si>
    <t>Sources:</t>
  </si>
  <si>
    <t>REGION, PROVINCE, AND CITY/MUNICIPALITY</t>
  </si>
  <si>
    <t>B.  POPULATION AND ANNUAL GROWTH RATES BY PROVINCE, CITY, AND MUNICIPALITY</t>
  </si>
  <si>
    <t>CITY OF LUCENA (Capital)</t>
  </si>
  <si>
    <t>CITY OF LIPA</t>
  </si>
  <si>
    <t>CITY OF SAN PEDRO</t>
  </si>
  <si>
    <t>CITY OF GENERAL TRIAS</t>
  </si>
  <si>
    <t>* Excludes City of Lucena.</t>
  </si>
  <si>
    <t>CITY OF BACOOR</t>
  </si>
  <si>
    <t>CITY OF CAVITE</t>
  </si>
  <si>
    <t>CITY OF IMUS</t>
  </si>
  <si>
    <t>CITY OF TAGAYTAY</t>
  </si>
  <si>
    <t>CITY OF TRECE MARTIRES (Capital)</t>
  </si>
  <si>
    <t>CITY OF CABUYAO</t>
  </si>
  <si>
    <t>CITY OF SAN PABLO</t>
  </si>
  <si>
    <t>CITY OF ANTIPOLO (Capital)</t>
  </si>
  <si>
    <t>Notes:</t>
  </si>
  <si>
    <r>
      <t>Philippine Statistics Authority,</t>
    </r>
    <r>
      <rPr>
        <i/>
        <sz val="10"/>
        <color theme="1"/>
        <rFont val="Arial"/>
        <family val="2"/>
      </rPr>
      <t xml:space="preserve"> 2010 Census of Population and Housing</t>
    </r>
  </si>
  <si>
    <r>
      <t xml:space="preserve">Philippine Statistics Authority, </t>
    </r>
    <r>
      <rPr>
        <i/>
        <sz val="10"/>
        <color theme="1"/>
        <rFont val="Arial"/>
        <family val="2"/>
      </rPr>
      <t>2015 Census of Population</t>
    </r>
  </si>
  <si>
    <r>
      <t xml:space="preserve">Philippine Statistics Authority, </t>
    </r>
    <r>
      <rPr>
        <i/>
        <sz val="10"/>
        <color theme="1"/>
        <rFont val="Arial"/>
        <family val="2"/>
      </rPr>
      <t>2020 Census of Population and Housing</t>
    </r>
  </si>
  <si>
    <r>
      <t xml:space="preserve">CITY OF STO. TOMAS </t>
    </r>
    <r>
      <rPr>
        <vertAlign val="superscript"/>
        <sz val="10"/>
        <rFont val="Arial"/>
        <family val="2"/>
      </rPr>
      <t>1</t>
    </r>
  </si>
  <si>
    <t>2010-
2015</t>
  </si>
  <si>
    <t>2015-
2020</t>
  </si>
  <si>
    <t>2010-
2020</t>
  </si>
  <si>
    <r>
      <t xml:space="preserve">QUEZON </t>
    </r>
    <r>
      <rPr>
        <b/>
        <vertAlign val="superscript"/>
        <sz val="10"/>
        <rFont val="Arial"/>
        <family val="2"/>
      </rPr>
      <t>*</t>
    </r>
  </si>
  <si>
    <r>
      <rPr>
        <i/>
        <vertAlign val="superscript"/>
        <sz val="9"/>
        <color indexed="8"/>
        <rFont val="Arial"/>
        <family val="2"/>
      </rPr>
      <t>1</t>
    </r>
    <r>
      <rPr>
        <i/>
        <sz val="9"/>
        <color indexed="8"/>
        <rFont val="Arial"/>
        <family val="2"/>
      </rPr>
      <t xml:space="preserve"> Converted into a city under Republic Act No. 11086; ratified on September 07, 2019.</t>
    </r>
  </si>
  <si>
    <t>2000-2010</t>
  </si>
  <si>
    <r>
      <t xml:space="preserve">Philippine Statistics Authority, </t>
    </r>
    <r>
      <rPr>
        <i/>
        <sz val="10"/>
        <color theme="1"/>
        <rFont val="Arial"/>
        <family val="2"/>
      </rPr>
      <t>2000 Census of Population and Housing</t>
    </r>
  </si>
  <si>
    <t>REGION IV-A (CALABARZON): 2000, 2010, 2015, AND 2020</t>
  </si>
  <si>
    <t>POPULATION GROWTH RATE
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</si>
</sst>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9"/>
      <name val="Arial"/>
      <family val="2"/>
    </font>
    <font>
      <b/>
      <i/>
      <sz val="9"/>
      <color theme="1"/>
      <name val="Arial"/>
      <family val="2"/>
    </font>
    <font>
      <i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i/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8" fillId="0" borderId="0" xfId="6" applyFont="1" applyAlignment="1">
      <alignment vertical="center"/>
    </xf>
    <xf numFmtId="0" fontId="7" fillId="0" borderId="0" xfId="6" applyFont="1" applyAlignment="1">
      <alignment horizontal="left"/>
    </xf>
    <xf numFmtId="0" fontId="9" fillId="0" borderId="0" xfId="0" applyFont="1"/>
    <xf numFmtId="0" fontId="4" fillId="0" borderId="0" xfId="0" applyFont="1"/>
    <xf numFmtId="0" fontId="3" fillId="0" borderId="0" xfId="1" applyAlignment="1">
      <alignment horizontal="left" wrapText="1"/>
    </xf>
    <xf numFmtId="3" fontId="4" fillId="0" borderId="0" xfId="0" applyNumberFormat="1" applyFont="1"/>
    <xf numFmtId="4" fontId="4" fillId="0" borderId="0" xfId="0" applyNumberFormat="1" applyFont="1"/>
    <xf numFmtId="0" fontId="12" fillId="0" borderId="0" xfId="0" applyFont="1"/>
    <xf numFmtId="3" fontId="12" fillId="0" borderId="0" xfId="0" applyNumberFormat="1" applyFont="1"/>
    <xf numFmtId="4" fontId="1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4" fillId="0" borderId="7" xfId="0" applyFont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2" fontId="12" fillId="0" borderId="0" xfId="0" applyNumberFormat="1" applyFont="1"/>
    <xf numFmtId="2" fontId="4" fillId="0" borderId="0" xfId="0" applyNumberFormat="1" applyFont="1"/>
    <xf numFmtId="0" fontId="14" fillId="0" borderId="0" xfId="4" applyFont="1"/>
    <xf numFmtId="165" fontId="4" fillId="0" borderId="0" xfId="2" applyNumberFormat="1" applyFont="1" applyFill="1" applyBorder="1"/>
    <xf numFmtId="3" fontId="4" fillId="0" borderId="0" xfId="3" applyNumberFormat="1"/>
    <xf numFmtId="0" fontId="4" fillId="0" borderId="0" xfId="3"/>
    <xf numFmtId="165" fontId="4" fillId="0" borderId="0" xfId="2" applyNumberFormat="1" applyFont="1" applyFill="1"/>
    <xf numFmtId="0" fontId="16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5" fontId="12" fillId="0" borderId="1" xfId="0" applyNumberFormat="1" applyFont="1" applyBorder="1" applyAlignment="1">
      <alignment horizontal="center" vertical="center" wrapText="1"/>
    </xf>
    <xf numFmtId="165" fontId="4" fillId="0" borderId="0" xfId="2" applyNumberFormat="1" applyFont="1"/>
    <xf numFmtId="165" fontId="12" fillId="0" borderId="0" xfId="2" applyNumberFormat="1" applyFont="1"/>
    <xf numFmtId="164" fontId="4" fillId="0" borderId="0" xfId="2" applyFont="1" applyBorder="1"/>
    <xf numFmtId="164" fontId="12" fillId="0" borderId="0" xfId="2" applyFont="1" applyBorder="1"/>
    <xf numFmtId="164" fontId="4" fillId="0" borderId="0" xfId="2" applyFont="1" applyFill="1" applyBorder="1"/>
    <xf numFmtId="0" fontId="10" fillId="0" borderId="0" xfId="1" applyFont="1" applyAlignment="1">
      <alignment horizontal="center" vertical="top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</cellXfs>
  <cellStyles count="14">
    <cellStyle name="Comma" xfId="2" builtinId="3"/>
    <cellStyle name="Comma 2" xfId="9" xr:uid="{00000000-0005-0000-0000-000001000000}"/>
    <cellStyle name="Comma 2 2" xfId="12" xr:uid="{00000000-0005-0000-0000-000002000000}"/>
    <cellStyle name="Comma 3" xfId="7" xr:uid="{00000000-0005-0000-0000-000003000000}"/>
    <cellStyle name="Comma 4" xfId="11" xr:uid="{00000000-0005-0000-0000-000004000000}"/>
    <cellStyle name="Normal" xfId="0" builtinId="0"/>
    <cellStyle name="Normal 2" xfId="8" xr:uid="{00000000-0005-0000-0000-000006000000}"/>
    <cellStyle name="Normal 2 2" xfId="13" xr:uid="{00000000-0005-0000-0000-000007000000}"/>
    <cellStyle name="Normal 3" xfId="5" xr:uid="{00000000-0005-0000-0000-000008000000}"/>
    <cellStyle name="Normal 4" xfId="6" xr:uid="{00000000-0005-0000-0000-000009000000}"/>
    <cellStyle name="Normal 5" xfId="10" xr:uid="{00000000-0005-0000-0000-00000A000000}"/>
    <cellStyle name="Normal_aurora" xfId="4" xr:uid="{00000000-0005-0000-0000-00000B000000}"/>
    <cellStyle name="Normal_NCR-CAR-ARMM-Caraga" xfId="1" xr:uid="{00000000-0005-0000-0000-00000C000000}"/>
    <cellStyle name="Normal_tawi2 ni angie  March 25" xfId="3" xr:uid="{00000000-0005-0000-0000-00000D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75"/>
  <sheetViews>
    <sheetView tabSelected="1" view="pageBreakPreview" zoomScale="130" zoomScaleSheetLayoutView="130" workbookViewId="0">
      <selection activeCell="F5" sqref="F5"/>
    </sheetView>
  </sheetViews>
  <sheetFormatPr defaultColWidth="9.140625" defaultRowHeight="12.75" x14ac:dyDescent="0.2"/>
  <cols>
    <col min="1" max="1" width="2.7109375" style="4" customWidth="1"/>
    <col min="2" max="2" width="43.5703125" style="4" customWidth="1"/>
    <col min="3" max="6" width="10.85546875" style="4" customWidth="1"/>
    <col min="7" max="10" width="7.5703125" style="4" customWidth="1"/>
    <col min="11" max="13" width="9.140625" style="4"/>
    <col min="14" max="16" width="10.140625" style="6" bestFit="1" customWidth="1"/>
    <col min="17" max="26" width="9.28515625" style="4" bestFit="1" customWidth="1"/>
    <col min="27" max="28" width="9.140625" style="4"/>
    <col min="29" max="29" width="19.140625" style="4" customWidth="1"/>
    <col min="30" max="16384" width="9.140625" style="4"/>
  </cols>
  <sheetData>
    <row r="1" spans="1:31" ht="12.75" customHeight="1" x14ac:dyDescent="0.2">
      <c r="A1" s="30" t="s">
        <v>135</v>
      </c>
      <c r="B1" s="30"/>
      <c r="C1" s="30"/>
      <c r="D1" s="30"/>
      <c r="E1" s="30"/>
      <c r="F1" s="30"/>
      <c r="G1" s="30"/>
      <c r="H1" s="30"/>
      <c r="I1" s="30"/>
      <c r="J1" s="30"/>
    </row>
    <row r="2" spans="1:31" ht="12.75" customHeight="1" x14ac:dyDescent="0.2">
      <c r="A2" s="30" t="s">
        <v>161</v>
      </c>
      <c r="B2" s="30"/>
      <c r="C2" s="30"/>
      <c r="D2" s="30"/>
      <c r="E2" s="30"/>
      <c r="F2" s="30"/>
      <c r="G2" s="30"/>
      <c r="H2" s="30"/>
      <c r="I2" s="30"/>
      <c r="J2" s="30"/>
    </row>
    <row r="4" spans="1:31" ht="25.5" customHeight="1" x14ac:dyDescent="0.2">
      <c r="A4" s="31" t="s">
        <v>134</v>
      </c>
      <c r="B4" s="32"/>
      <c r="C4" s="35" t="s">
        <v>132</v>
      </c>
      <c r="D4" s="35"/>
      <c r="E4" s="35"/>
      <c r="F4" s="35"/>
      <c r="G4" s="36" t="s">
        <v>162</v>
      </c>
      <c r="H4" s="37"/>
      <c r="I4" s="37"/>
      <c r="J4" s="38"/>
    </row>
    <row r="5" spans="1:31" ht="26.25" customHeight="1" x14ac:dyDescent="0.2">
      <c r="A5" s="33"/>
      <c r="B5" s="34"/>
      <c r="C5" s="24">
        <v>36647</v>
      </c>
      <c r="D5" s="24">
        <v>40299</v>
      </c>
      <c r="E5" s="24">
        <v>42217</v>
      </c>
      <c r="F5" s="24">
        <v>43952</v>
      </c>
      <c r="G5" s="24" t="s">
        <v>159</v>
      </c>
      <c r="H5" s="23" t="s">
        <v>154</v>
      </c>
      <c r="I5" s="23" t="s">
        <v>155</v>
      </c>
      <c r="J5" s="23" t="s">
        <v>156</v>
      </c>
    </row>
    <row r="6" spans="1:31" x14ac:dyDescent="0.2">
      <c r="B6" s="5"/>
      <c r="C6" s="5"/>
      <c r="D6" s="6"/>
      <c r="E6" s="6"/>
      <c r="F6" s="6"/>
      <c r="G6" s="6"/>
      <c r="H6" s="6"/>
      <c r="I6" s="7"/>
      <c r="J6" s="7"/>
    </row>
    <row r="7" spans="1:31" s="8" customFormat="1" x14ac:dyDescent="0.2">
      <c r="A7" s="8" t="s">
        <v>109</v>
      </c>
      <c r="C7" s="9">
        <f>SUM(C9,C45,C70,C102,C144,C146)</f>
        <v>9320629</v>
      </c>
      <c r="D7" s="9">
        <f>SUM(D9,D45,D70,D102,D144,D146)</f>
        <v>12609803</v>
      </c>
      <c r="E7" s="9">
        <f>SUM(E9,E45,E70,E102,E144,E146)</f>
        <v>14414774</v>
      </c>
      <c r="F7" s="9">
        <f>SUM(F9,F45,F70,F102,F144,F146)</f>
        <v>16195042</v>
      </c>
      <c r="G7" s="10">
        <f>(((D7/C7)^(1/(($D$5-$C$5)/365))-1)*100)</f>
        <v>3.0668776277849474</v>
      </c>
      <c r="H7" s="10">
        <f>(((E7/D7)^(1/(($E$5-$D$5)/365))-1)*100)</f>
        <v>2.5785323430865814</v>
      </c>
      <c r="I7" s="10">
        <f>(((F7/E7)^(1/(($F$5-$E$5)/365))-1)*100)</f>
        <v>2.4800993363164103</v>
      </c>
      <c r="J7" s="10">
        <f>(((F7/D7)^(1/(($F$5-$D$5)/365))-1)*100)</f>
        <v>2.5317695973907872</v>
      </c>
      <c r="N7" s="9"/>
      <c r="O7" s="9"/>
      <c r="P7" s="9"/>
      <c r="Q7" s="15"/>
      <c r="R7" s="15"/>
      <c r="S7" s="15"/>
    </row>
    <row r="8" spans="1:31" x14ac:dyDescent="0.2">
      <c r="C8" s="25"/>
      <c r="D8" s="6"/>
      <c r="E8" s="6"/>
      <c r="F8" s="6"/>
      <c r="G8" s="27"/>
      <c r="H8" s="11"/>
      <c r="I8" s="11"/>
      <c r="J8" s="11"/>
      <c r="T8" s="8"/>
      <c r="U8" s="8"/>
      <c r="V8" s="8"/>
      <c r="W8" s="8"/>
      <c r="X8" s="8"/>
      <c r="Y8" s="8"/>
      <c r="Z8" s="8"/>
      <c r="AA8" s="8"/>
      <c r="AE8" s="8"/>
    </row>
    <row r="9" spans="1:31" s="8" customFormat="1" x14ac:dyDescent="0.2">
      <c r="A9" s="8" t="s">
        <v>119</v>
      </c>
      <c r="C9" s="9">
        <f>SUM(C10:C43)</f>
        <v>1905348</v>
      </c>
      <c r="D9" s="9">
        <f>SUM(D10:D43)</f>
        <v>2377395</v>
      </c>
      <c r="E9" s="9">
        <f>SUM(E10:E43)</f>
        <v>2694335</v>
      </c>
      <c r="F9" s="9">
        <f>SUM(F10:F43)</f>
        <v>2908494</v>
      </c>
      <c r="G9" s="28">
        <f t="shared" ref="G9:G71" si="0">(((D9/C9)^(1/(($D$5-$C$5)/365))-1)*100)</f>
        <v>2.2368451145605261</v>
      </c>
      <c r="H9" s="10">
        <f t="shared" ref="H9:H43" si="1">(((E9/D9)^(1/(($E$5-$D$5)/365))-1)*100)</f>
        <v>2.4101453413422069</v>
      </c>
      <c r="I9" s="10">
        <f t="shared" ref="I9:I43" si="2">(((F9/E9)^(1/(($F$5-$E$5)/365))-1)*100)</f>
        <v>1.6220439986437851</v>
      </c>
      <c r="J9" s="10">
        <f t="shared" ref="J9:J43" si="3">(((F9/D9)^(1/(($F$5-$D$5)/365))-1)*100)</f>
        <v>2.0350757798585528</v>
      </c>
      <c r="M9" s="4"/>
      <c r="N9" s="6"/>
      <c r="O9" s="6"/>
      <c r="P9" s="6"/>
      <c r="Q9" s="16"/>
      <c r="R9" s="16"/>
      <c r="S9" s="16"/>
    </row>
    <row r="10" spans="1:31" x14ac:dyDescent="0.2">
      <c r="A10" s="4" t="s">
        <v>16</v>
      </c>
      <c r="C10" s="25">
        <v>26584</v>
      </c>
      <c r="D10" s="6">
        <v>35794</v>
      </c>
      <c r="E10" s="6">
        <v>38059</v>
      </c>
      <c r="F10" s="6">
        <v>39101</v>
      </c>
      <c r="G10" s="27">
        <f t="shared" si="0"/>
        <v>3.0177156664685123</v>
      </c>
      <c r="H10" s="11">
        <f t="shared" si="1"/>
        <v>1.1744878171803697</v>
      </c>
      <c r="I10" s="11">
        <f t="shared" si="2"/>
        <v>0.56984896909308969</v>
      </c>
      <c r="J10" s="11">
        <f t="shared" si="3"/>
        <v>0.88686140941141023</v>
      </c>
      <c r="K10" s="8"/>
      <c r="L10" s="8"/>
      <c r="M10" s="8"/>
      <c r="N10" s="9"/>
      <c r="O10" s="9"/>
      <c r="P10" s="9"/>
      <c r="Q10" s="15"/>
      <c r="R10" s="15"/>
      <c r="S10" s="15"/>
      <c r="T10" s="8"/>
      <c r="U10" s="8"/>
      <c r="V10" s="8"/>
      <c r="W10" s="8"/>
      <c r="X10" s="8"/>
      <c r="Y10" s="8"/>
      <c r="Z10" s="8"/>
      <c r="AA10" s="8"/>
      <c r="AE10" s="8"/>
    </row>
    <row r="11" spans="1:31" x14ac:dyDescent="0.2">
      <c r="A11" s="4" t="s">
        <v>17</v>
      </c>
      <c r="C11" s="25">
        <v>20192</v>
      </c>
      <c r="D11" s="6">
        <v>23649</v>
      </c>
      <c r="E11" s="6">
        <v>25300</v>
      </c>
      <c r="F11" s="6">
        <v>26819</v>
      </c>
      <c r="G11" s="27">
        <f t="shared" si="0"/>
        <v>1.5920176634188765</v>
      </c>
      <c r="H11" s="11">
        <f t="shared" si="1"/>
        <v>1.2925100534644907</v>
      </c>
      <c r="I11" s="11">
        <f t="shared" si="2"/>
        <v>1.2341682633359996</v>
      </c>
      <c r="J11" s="11">
        <f t="shared" si="3"/>
        <v>1.2647963069646773</v>
      </c>
      <c r="K11" s="8"/>
      <c r="L11" s="8"/>
      <c r="Q11" s="16"/>
      <c r="R11" s="16"/>
      <c r="S11" s="16"/>
      <c r="T11" s="8"/>
      <c r="U11" s="8"/>
      <c r="V11" s="8"/>
      <c r="W11" s="8"/>
      <c r="X11" s="8"/>
      <c r="Y11" s="8"/>
      <c r="Z11" s="8"/>
      <c r="AA11" s="8"/>
      <c r="AE11" s="8"/>
    </row>
    <row r="12" spans="1:31" x14ac:dyDescent="0.2">
      <c r="A12" s="4" t="s">
        <v>18</v>
      </c>
      <c r="C12" s="25">
        <v>67170</v>
      </c>
      <c r="D12" s="6">
        <v>81805</v>
      </c>
      <c r="E12" s="6">
        <v>90699</v>
      </c>
      <c r="F12" s="6">
        <v>95913</v>
      </c>
      <c r="G12" s="27">
        <f t="shared" si="0"/>
        <v>1.9895702882748667</v>
      </c>
      <c r="H12" s="11">
        <f t="shared" si="1"/>
        <v>1.9834871309321933</v>
      </c>
      <c r="I12" s="11">
        <f t="shared" si="2"/>
        <v>1.1828340360492851</v>
      </c>
      <c r="J12" s="11">
        <f t="shared" si="3"/>
        <v>1.6024283731281175</v>
      </c>
      <c r="K12" s="8"/>
      <c r="L12" s="8"/>
      <c r="Q12" s="16"/>
      <c r="R12" s="16"/>
      <c r="S12" s="16"/>
      <c r="T12" s="8"/>
      <c r="U12" s="8"/>
      <c r="V12" s="8"/>
      <c r="W12" s="8"/>
      <c r="X12" s="8"/>
      <c r="Y12" s="8"/>
      <c r="Z12" s="8"/>
      <c r="AA12" s="8"/>
      <c r="AE12" s="8"/>
    </row>
    <row r="13" spans="1:31" x14ac:dyDescent="0.2">
      <c r="A13" s="4" t="s">
        <v>19</v>
      </c>
      <c r="C13" s="25">
        <v>15792</v>
      </c>
      <c r="D13" s="6">
        <v>20214</v>
      </c>
      <c r="E13" s="6">
        <v>22661</v>
      </c>
      <c r="F13" s="6">
        <v>24055</v>
      </c>
      <c r="G13" s="27">
        <f t="shared" si="0"/>
        <v>2.4980589434580036</v>
      </c>
      <c r="H13" s="11">
        <f t="shared" si="1"/>
        <v>2.1984009979788555</v>
      </c>
      <c r="I13" s="11">
        <f t="shared" si="2"/>
        <v>1.2638031316040799</v>
      </c>
      <c r="J13" s="11">
        <f t="shared" si="3"/>
        <v>1.7534411276153961</v>
      </c>
      <c r="K13" s="8"/>
      <c r="L13" s="8"/>
      <c r="Q13" s="16"/>
      <c r="R13" s="16"/>
      <c r="S13" s="16"/>
      <c r="T13" s="8"/>
      <c r="U13" s="8"/>
      <c r="V13" s="8"/>
      <c r="W13" s="8"/>
      <c r="X13" s="8"/>
      <c r="Y13" s="8"/>
      <c r="Z13" s="8"/>
      <c r="AA13" s="8"/>
      <c r="AE13" s="8"/>
    </row>
    <row r="14" spans="1:31" x14ac:dyDescent="0.2">
      <c r="A14" s="4" t="s">
        <v>20</v>
      </c>
      <c r="C14" s="25">
        <v>247588</v>
      </c>
      <c r="D14" s="6">
        <v>305607</v>
      </c>
      <c r="E14" s="6">
        <v>329874</v>
      </c>
      <c r="F14" s="6">
        <v>351437</v>
      </c>
      <c r="G14" s="27">
        <f t="shared" si="0"/>
        <v>2.1264799923470967</v>
      </c>
      <c r="H14" s="11">
        <f t="shared" si="1"/>
        <v>1.464739556691308</v>
      </c>
      <c r="I14" s="11">
        <f t="shared" si="2"/>
        <v>1.3409976981056504</v>
      </c>
      <c r="J14" s="11">
        <f t="shared" si="3"/>
        <v>1.4059492737309665</v>
      </c>
      <c r="K14" s="8"/>
      <c r="L14" s="8"/>
      <c r="Q14" s="16"/>
      <c r="R14" s="16"/>
      <c r="S14" s="16"/>
      <c r="T14" s="8"/>
      <c r="U14" s="8"/>
      <c r="V14" s="8"/>
      <c r="W14" s="8"/>
      <c r="X14" s="8"/>
      <c r="Y14" s="8"/>
      <c r="Z14" s="8"/>
      <c r="AA14" s="8"/>
      <c r="AE14" s="8"/>
    </row>
    <row r="15" spans="1:31" x14ac:dyDescent="0.2">
      <c r="A15" s="4" t="s">
        <v>21</v>
      </c>
      <c r="C15" s="25">
        <v>72604</v>
      </c>
      <c r="D15" s="6">
        <v>81351</v>
      </c>
      <c r="E15" s="6">
        <v>91297</v>
      </c>
      <c r="F15" s="6">
        <v>90819</v>
      </c>
      <c r="G15" s="27">
        <f t="shared" si="0"/>
        <v>1.1433954931445278</v>
      </c>
      <c r="H15" s="11">
        <f t="shared" si="1"/>
        <v>2.2193074763502851</v>
      </c>
      <c r="I15" s="11">
        <f t="shared" si="2"/>
        <v>-0.11037339185515638</v>
      </c>
      <c r="J15" s="11">
        <f t="shared" si="3"/>
        <v>1.1061225307957612</v>
      </c>
      <c r="K15" s="8"/>
      <c r="L15" s="8"/>
      <c r="Q15" s="16"/>
      <c r="R15" s="16"/>
      <c r="S15" s="16"/>
      <c r="T15" s="8"/>
      <c r="U15" s="8"/>
      <c r="V15" s="8"/>
      <c r="W15" s="8"/>
      <c r="X15" s="8"/>
      <c r="Y15" s="8"/>
      <c r="Z15" s="8"/>
      <c r="AA15" s="8"/>
      <c r="AE15" s="8"/>
    </row>
    <row r="16" spans="1:31" x14ac:dyDescent="0.2">
      <c r="A16" s="4" t="s">
        <v>22</v>
      </c>
      <c r="C16" s="25">
        <v>58489</v>
      </c>
      <c r="D16" s="6">
        <v>70521</v>
      </c>
      <c r="E16" s="6">
        <v>81859</v>
      </c>
      <c r="F16" s="6">
        <v>87361</v>
      </c>
      <c r="G16" s="27">
        <f t="shared" si="0"/>
        <v>1.887282084579045</v>
      </c>
      <c r="H16" s="11">
        <f t="shared" si="1"/>
        <v>2.8778061737672278</v>
      </c>
      <c r="I16" s="11">
        <f t="shared" si="2"/>
        <v>1.3779086863881629</v>
      </c>
      <c r="J16" s="11">
        <f t="shared" si="3"/>
        <v>2.1626797329380665</v>
      </c>
      <c r="K16" s="8"/>
      <c r="L16" s="8"/>
      <c r="Q16" s="16"/>
      <c r="R16" s="16"/>
      <c r="S16" s="16"/>
      <c r="T16" s="8"/>
      <c r="U16" s="8"/>
      <c r="V16" s="8"/>
      <c r="W16" s="8"/>
      <c r="X16" s="8"/>
      <c r="Y16" s="8"/>
      <c r="Z16" s="8"/>
      <c r="AA16" s="8"/>
      <c r="AE16" s="8"/>
    </row>
    <row r="17" spans="1:31" x14ac:dyDescent="0.2">
      <c r="A17" s="4" t="s">
        <v>23</v>
      </c>
      <c r="C17" s="25">
        <v>45068</v>
      </c>
      <c r="D17" s="6">
        <v>51997</v>
      </c>
      <c r="E17" s="6">
        <v>56449</v>
      </c>
      <c r="F17" s="6">
        <v>58719</v>
      </c>
      <c r="G17" s="27">
        <f t="shared" si="0"/>
        <v>1.4396165232164915</v>
      </c>
      <c r="H17" s="11">
        <f t="shared" si="1"/>
        <v>1.5756481829596103</v>
      </c>
      <c r="I17" s="11">
        <f t="shared" si="2"/>
        <v>0.832867599724052</v>
      </c>
      <c r="J17" s="11">
        <f t="shared" si="3"/>
        <v>1.2221832082931039</v>
      </c>
      <c r="K17" s="8"/>
      <c r="L17" s="8"/>
      <c r="Q17" s="16"/>
      <c r="R17" s="16"/>
      <c r="S17" s="16"/>
      <c r="T17" s="8"/>
      <c r="U17" s="8"/>
      <c r="V17" s="8"/>
      <c r="W17" s="8"/>
      <c r="X17" s="8"/>
      <c r="Y17" s="8"/>
      <c r="Z17" s="8"/>
      <c r="AA17" s="8"/>
      <c r="AE17" s="8"/>
    </row>
    <row r="18" spans="1:31" x14ac:dyDescent="0.2">
      <c r="A18" s="4" t="s">
        <v>24</v>
      </c>
      <c r="C18" s="25">
        <v>25642</v>
      </c>
      <c r="D18" s="6">
        <v>31236</v>
      </c>
      <c r="E18" s="6">
        <v>32783</v>
      </c>
      <c r="F18" s="6">
        <v>36235</v>
      </c>
      <c r="G18" s="27">
        <f t="shared" si="0"/>
        <v>1.9918943679460233</v>
      </c>
      <c r="H18" s="11">
        <f t="shared" si="1"/>
        <v>0.9241432724266474</v>
      </c>
      <c r="I18" s="11">
        <f t="shared" si="2"/>
        <v>2.1285108123481722</v>
      </c>
      <c r="J18" s="11">
        <f t="shared" si="3"/>
        <v>1.494378931945084</v>
      </c>
      <c r="K18" s="8"/>
      <c r="L18" s="8"/>
      <c r="Q18" s="16"/>
      <c r="R18" s="16"/>
      <c r="S18" s="16"/>
      <c r="T18" s="8"/>
      <c r="U18" s="8"/>
      <c r="V18" s="8"/>
      <c r="W18" s="8"/>
      <c r="X18" s="8"/>
      <c r="Y18" s="8"/>
      <c r="Z18" s="8"/>
      <c r="AA18" s="8"/>
      <c r="AE18" s="8"/>
    </row>
    <row r="19" spans="1:31" x14ac:dyDescent="0.2">
      <c r="A19" s="4" t="s">
        <v>25</v>
      </c>
      <c r="C19" s="25">
        <v>40165</v>
      </c>
      <c r="D19" s="6">
        <v>48482</v>
      </c>
      <c r="E19" s="6">
        <v>52970</v>
      </c>
      <c r="F19" s="6">
        <v>58507</v>
      </c>
      <c r="G19" s="27">
        <f t="shared" si="0"/>
        <v>1.8987366316518539</v>
      </c>
      <c r="H19" s="11">
        <f t="shared" si="1"/>
        <v>1.6990794259855946</v>
      </c>
      <c r="I19" s="11">
        <f t="shared" si="2"/>
        <v>2.1135855728755537</v>
      </c>
      <c r="J19" s="11">
        <f t="shared" si="3"/>
        <v>1.8957397727620284</v>
      </c>
      <c r="K19" s="8"/>
      <c r="L19" s="8"/>
      <c r="Q19" s="16"/>
      <c r="R19" s="16"/>
      <c r="S19" s="16"/>
      <c r="T19" s="8"/>
      <c r="U19" s="8"/>
      <c r="V19" s="8"/>
      <c r="W19" s="8"/>
      <c r="X19" s="8"/>
      <c r="Y19" s="8"/>
      <c r="Z19" s="8"/>
      <c r="AA19" s="8"/>
      <c r="AE19" s="8"/>
    </row>
    <row r="20" spans="1:31" x14ac:dyDescent="0.2">
      <c r="A20" s="4" t="s">
        <v>59</v>
      </c>
      <c r="C20" s="25">
        <v>27604</v>
      </c>
      <c r="D20" s="6">
        <v>35674</v>
      </c>
      <c r="E20" s="6">
        <v>39444</v>
      </c>
      <c r="F20" s="6">
        <v>43210</v>
      </c>
      <c r="G20" s="27">
        <f t="shared" si="0"/>
        <v>2.5963426320276373</v>
      </c>
      <c r="H20" s="11">
        <f t="shared" si="1"/>
        <v>1.9301657414609874</v>
      </c>
      <c r="I20" s="11">
        <f t="shared" si="2"/>
        <v>1.9369261096960022</v>
      </c>
      <c r="J20" s="11">
        <f t="shared" si="3"/>
        <v>1.9333765366076561</v>
      </c>
      <c r="K20" s="8"/>
      <c r="L20" s="8"/>
      <c r="Q20" s="16"/>
      <c r="R20" s="16"/>
      <c r="S20" s="16"/>
      <c r="T20" s="8"/>
      <c r="U20" s="8"/>
      <c r="V20" s="8"/>
      <c r="W20" s="8"/>
      <c r="X20" s="8"/>
      <c r="Y20" s="8"/>
      <c r="Z20" s="8"/>
      <c r="AA20" s="8"/>
      <c r="AE20" s="8"/>
    </row>
    <row r="21" spans="1:31" x14ac:dyDescent="0.2">
      <c r="A21" s="4" t="s">
        <v>60</v>
      </c>
      <c r="C21" s="25">
        <v>66528</v>
      </c>
      <c r="D21" s="6">
        <v>81825</v>
      </c>
      <c r="E21" s="6">
        <v>93157</v>
      </c>
      <c r="F21" s="6">
        <v>93186</v>
      </c>
      <c r="G21" s="27">
        <f t="shared" si="0"/>
        <v>2.0900066991260235</v>
      </c>
      <c r="H21" s="11">
        <f t="shared" si="1"/>
        <v>2.4990016121252179</v>
      </c>
      <c r="I21" s="11">
        <f t="shared" si="2"/>
        <v>6.5482087860280203E-3</v>
      </c>
      <c r="J21" s="11">
        <f t="shared" si="3"/>
        <v>1.3075537074591193</v>
      </c>
      <c r="K21" s="8"/>
      <c r="L21" s="8"/>
      <c r="Q21" s="16"/>
      <c r="R21" s="16"/>
      <c r="S21" s="16"/>
      <c r="T21" s="8"/>
      <c r="U21" s="8"/>
      <c r="V21" s="8"/>
      <c r="W21" s="8"/>
      <c r="X21" s="8"/>
      <c r="Y21" s="8"/>
      <c r="Z21" s="8"/>
      <c r="AA21" s="8"/>
      <c r="AE21" s="8"/>
    </row>
    <row r="22" spans="1:31" x14ac:dyDescent="0.2">
      <c r="A22" s="4" t="s">
        <v>61</v>
      </c>
      <c r="C22" s="25">
        <v>39129</v>
      </c>
      <c r="D22" s="6">
        <v>45943</v>
      </c>
      <c r="E22" s="6">
        <v>52660</v>
      </c>
      <c r="F22" s="6">
        <v>56280</v>
      </c>
      <c r="G22" s="27">
        <f t="shared" si="0"/>
        <v>1.6174381740278632</v>
      </c>
      <c r="H22" s="11">
        <f t="shared" si="1"/>
        <v>2.6307745208808964</v>
      </c>
      <c r="I22" s="11">
        <f t="shared" si="2"/>
        <v>1.4084620262489578</v>
      </c>
      <c r="J22" s="11">
        <f t="shared" si="3"/>
        <v>2.0484084479069686</v>
      </c>
      <c r="K22" s="8"/>
      <c r="L22" s="8"/>
      <c r="Q22" s="16"/>
      <c r="R22" s="16"/>
      <c r="S22" s="16"/>
      <c r="T22" s="8"/>
      <c r="U22" s="8"/>
      <c r="V22" s="8"/>
      <c r="W22" s="8"/>
      <c r="X22" s="8"/>
      <c r="Y22" s="8"/>
      <c r="Z22" s="8"/>
      <c r="AA22" s="8"/>
      <c r="AE22" s="8"/>
    </row>
    <row r="23" spans="1:31" x14ac:dyDescent="0.2">
      <c r="A23" s="4" t="s">
        <v>137</v>
      </c>
      <c r="C23" s="25">
        <v>218447</v>
      </c>
      <c r="D23" s="6">
        <v>283468</v>
      </c>
      <c r="E23" s="6">
        <v>332386</v>
      </c>
      <c r="F23" s="6">
        <v>372931</v>
      </c>
      <c r="G23" s="27">
        <f t="shared" si="0"/>
        <v>2.6383350337797262</v>
      </c>
      <c r="H23" s="11">
        <f t="shared" si="1"/>
        <v>3.075928908099268</v>
      </c>
      <c r="I23" s="11">
        <f t="shared" si="2"/>
        <v>2.4508903036952079</v>
      </c>
      <c r="J23" s="11">
        <f t="shared" si="3"/>
        <v>2.7785914718293503</v>
      </c>
      <c r="K23" s="8"/>
      <c r="L23" s="8"/>
      <c r="Q23" s="16"/>
      <c r="R23" s="16"/>
      <c r="S23" s="16"/>
      <c r="T23" s="8"/>
      <c r="U23" s="8"/>
      <c r="V23" s="8"/>
      <c r="W23" s="8"/>
      <c r="X23" s="8"/>
      <c r="Y23" s="8"/>
      <c r="Z23" s="8"/>
      <c r="AA23" s="8"/>
      <c r="AE23" s="8"/>
    </row>
    <row r="24" spans="1:31" x14ac:dyDescent="0.2">
      <c r="A24" s="4" t="s">
        <v>62</v>
      </c>
      <c r="C24" s="25">
        <v>33909</v>
      </c>
      <c r="D24" s="6">
        <v>37070</v>
      </c>
      <c r="E24" s="6">
        <v>41504</v>
      </c>
      <c r="F24" s="6">
        <v>40736</v>
      </c>
      <c r="G24" s="27">
        <f t="shared" si="0"/>
        <v>0.89476672819781555</v>
      </c>
      <c r="H24" s="11">
        <f t="shared" si="1"/>
        <v>2.1733511466070166</v>
      </c>
      <c r="I24" s="11">
        <f t="shared" si="2"/>
        <v>-0.39215808153978404</v>
      </c>
      <c r="J24" s="11">
        <f t="shared" si="3"/>
        <v>0.94672090302803102</v>
      </c>
      <c r="K24" s="8"/>
      <c r="L24" s="8"/>
      <c r="Q24" s="16"/>
      <c r="R24" s="16"/>
      <c r="S24" s="16"/>
      <c r="T24" s="8"/>
      <c r="U24" s="8"/>
      <c r="V24" s="8"/>
      <c r="W24" s="8"/>
      <c r="X24" s="8"/>
      <c r="Y24" s="8"/>
      <c r="Z24" s="8"/>
      <c r="AA24" s="8"/>
      <c r="AE24" s="8"/>
    </row>
    <row r="25" spans="1:31" x14ac:dyDescent="0.2">
      <c r="A25" s="4" t="s">
        <v>118</v>
      </c>
      <c r="C25" s="25">
        <v>37474</v>
      </c>
      <c r="D25" s="6">
        <v>44391</v>
      </c>
      <c r="E25" s="6">
        <v>46211</v>
      </c>
      <c r="F25" s="6">
        <v>50858</v>
      </c>
      <c r="G25" s="27">
        <f t="shared" si="0"/>
        <v>1.7073781050600756</v>
      </c>
      <c r="H25" s="11">
        <f t="shared" si="1"/>
        <v>0.7675872898028846</v>
      </c>
      <c r="I25" s="11">
        <f t="shared" si="2"/>
        <v>2.0362552377228171</v>
      </c>
      <c r="J25" s="11">
        <f t="shared" si="3"/>
        <v>1.368164872395683</v>
      </c>
      <c r="K25" s="8"/>
      <c r="L25" s="8"/>
      <c r="Q25" s="16"/>
      <c r="R25" s="16"/>
      <c r="S25" s="16"/>
      <c r="T25" s="8"/>
      <c r="U25" s="8"/>
      <c r="V25" s="8"/>
      <c r="W25" s="8"/>
      <c r="X25" s="8"/>
      <c r="Y25" s="8"/>
      <c r="Z25" s="8"/>
      <c r="AA25" s="8"/>
      <c r="AE25" s="8"/>
    </row>
    <row r="26" spans="1:31" x14ac:dyDescent="0.2">
      <c r="A26" s="4" t="s">
        <v>0</v>
      </c>
      <c r="C26" s="25">
        <v>32691</v>
      </c>
      <c r="D26" s="6">
        <v>45952</v>
      </c>
      <c r="E26" s="6">
        <v>56270</v>
      </c>
      <c r="F26" s="6">
        <v>64379</v>
      </c>
      <c r="G26" s="27">
        <f t="shared" si="0"/>
        <v>3.4616792217726067</v>
      </c>
      <c r="H26" s="11">
        <f t="shared" si="1"/>
        <v>3.9301076565161575</v>
      </c>
      <c r="I26" s="11">
        <f t="shared" si="2"/>
        <v>2.8726765666629239</v>
      </c>
      <c r="J26" s="11">
        <f t="shared" si="3"/>
        <v>3.4265300910444552</v>
      </c>
      <c r="K26" s="8"/>
      <c r="L26" s="8"/>
      <c r="Q26" s="16"/>
      <c r="R26" s="16"/>
      <c r="S26" s="16"/>
      <c r="T26" s="8"/>
      <c r="U26" s="8"/>
      <c r="V26" s="8"/>
      <c r="W26" s="8"/>
      <c r="X26" s="8"/>
      <c r="Y26" s="8"/>
      <c r="Z26" s="8"/>
      <c r="AA26" s="8"/>
      <c r="AE26" s="8"/>
    </row>
    <row r="27" spans="1:31" x14ac:dyDescent="0.2">
      <c r="A27" s="4" t="s">
        <v>53</v>
      </c>
      <c r="C27" s="25">
        <v>20706</v>
      </c>
      <c r="D27" s="6">
        <v>27177</v>
      </c>
      <c r="E27" s="6">
        <v>29187</v>
      </c>
      <c r="F27" s="6">
        <v>30621</v>
      </c>
      <c r="G27" s="27">
        <f t="shared" si="0"/>
        <v>2.7552600036981234</v>
      </c>
      <c r="H27" s="11">
        <f t="shared" si="1"/>
        <v>1.3671135426930769</v>
      </c>
      <c r="I27" s="11">
        <f t="shared" si="2"/>
        <v>1.0141200779415938</v>
      </c>
      <c r="J27" s="11">
        <f t="shared" si="3"/>
        <v>1.1993050162245389</v>
      </c>
      <c r="K27" s="8"/>
      <c r="L27" s="8"/>
      <c r="Q27" s="16"/>
      <c r="R27" s="16"/>
      <c r="S27" s="16"/>
      <c r="T27" s="8"/>
      <c r="U27" s="8"/>
      <c r="V27" s="8"/>
      <c r="W27" s="8"/>
      <c r="X27" s="8"/>
      <c r="Y27" s="8"/>
      <c r="Z27" s="8"/>
      <c r="AA27" s="8"/>
      <c r="AE27" s="8"/>
    </row>
    <row r="28" spans="1:31" x14ac:dyDescent="0.2">
      <c r="A28" s="4" t="s">
        <v>1</v>
      </c>
      <c r="C28" s="25">
        <v>96113</v>
      </c>
      <c r="D28" s="6">
        <v>122483</v>
      </c>
      <c r="E28" s="6">
        <v>134113</v>
      </c>
      <c r="F28" s="6">
        <v>136524</v>
      </c>
      <c r="G28" s="27">
        <f t="shared" si="0"/>
        <v>2.4527456969348327</v>
      </c>
      <c r="H28" s="11">
        <f t="shared" si="1"/>
        <v>1.741227920085775</v>
      </c>
      <c r="I28" s="11">
        <f t="shared" si="2"/>
        <v>0.37554252085567619</v>
      </c>
      <c r="J28" s="11">
        <f t="shared" si="3"/>
        <v>1.0902913290193883</v>
      </c>
      <c r="K28" s="8"/>
      <c r="L28" s="8"/>
      <c r="Q28" s="16"/>
      <c r="R28" s="16"/>
      <c r="S28" s="16"/>
      <c r="T28" s="8"/>
      <c r="U28" s="8"/>
      <c r="V28" s="8"/>
      <c r="W28" s="8"/>
      <c r="X28" s="8"/>
      <c r="Y28" s="8"/>
      <c r="Z28" s="8"/>
      <c r="AA28" s="8"/>
      <c r="AE28" s="8"/>
    </row>
    <row r="29" spans="1:31" x14ac:dyDescent="0.2">
      <c r="A29" s="4" t="s">
        <v>2</v>
      </c>
      <c r="C29" s="25">
        <v>34504</v>
      </c>
      <c r="D29" s="6">
        <v>44877</v>
      </c>
      <c r="E29" s="6">
        <v>48302</v>
      </c>
      <c r="F29" s="6">
        <v>51853</v>
      </c>
      <c r="G29" s="27">
        <f t="shared" si="0"/>
        <v>2.6618735073584032</v>
      </c>
      <c r="H29" s="11">
        <f t="shared" si="1"/>
        <v>1.4094682283733562</v>
      </c>
      <c r="I29" s="11">
        <f t="shared" si="2"/>
        <v>1.5035858086118292</v>
      </c>
      <c r="J29" s="11">
        <f t="shared" si="3"/>
        <v>1.4541586839905474</v>
      </c>
      <c r="K29" s="8"/>
      <c r="L29" s="8"/>
      <c r="Q29" s="16"/>
      <c r="R29" s="16"/>
      <c r="S29" s="16"/>
      <c r="T29" s="8"/>
      <c r="U29" s="8"/>
      <c r="V29" s="8"/>
      <c r="W29" s="8"/>
      <c r="X29" s="8"/>
      <c r="Y29" s="8"/>
      <c r="Z29" s="8"/>
      <c r="AA29" s="8"/>
      <c r="AE29" s="8"/>
    </row>
    <row r="30" spans="1:31" x14ac:dyDescent="0.2">
      <c r="A30" s="4" t="s">
        <v>130</v>
      </c>
      <c r="C30" s="25">
        <v>86110</v>
      </c>
      <c r="D30" s="6">
        <v>105561</v>
      </c>
      <c r="E30" s="6">
        <v>116764</v>
      </c>
      <c r="F30" s="6">
        <v>128352</v>
      </c>
      <c r="G30" s="27">
        <f t="shared" si="0"/>
        <v>2.0563769792352193</v>
      </c>
      <c r="H30" s="11">
        <f t="shared" si="1"/>
        <v>1.9380415790773098</v>
      </c>
      <c r="I30" s="11">
        <f t="shared" si="2"/>
        <v>2.0105448751428723</v>
      </c>
      <c r="J30" s="11">
        <f t="shared" si="3"/>
        <v>1.9724707438942612</v>
      </c>
      <c r="K30" s="8"/>
      <c r="L30" s="8"/>
      <c r="Q30" s="16"/>
      <c r="R30" s="16"/>
      <c r="S30" s="16"/>
      <c r="T30" s="8"/>
      <c r="U30" s="8"/>
      <c r="V30" s="8"/>
      <c r="W30" s="8"/>
      <c r="X30" s="8"/>
      <c r="Y30" s="8"/>
      <c r="Z30" s="8"/>
      <c r="AA30" s="8"/>
      <c r="AE30" s="8"/>
    </row>
    <row r="31" spans="1:31" x14ac:dyDescent="0.2">
      <c r="A31" s="4" t="s">
        <v>126</v>
      </c>
      <c r="C31" s="25">
        <v>51965</v>
      </c>
      <c r="D31" s="6">
        <v>68517</v>
      </c>
      <c r="E31" s="6">
        <v>76971</v>
      </c>
      <c r="F31" s="6">
        <v>79868</v>
      </c>
      <c r="G31" s="27">
        <f t="shared" si="0"/>
        <v>2.8021421083622933</v>
      </c>
      <c r="H31" s="11">
        <f t="shared" si="1"/>
        <v>2.238801513453148</v>
      </c>
      <c r="I31" s="11">
        <f t="shared" si="2"/>
        <v>0.78029011600395659</v>
      </c>
      <c r="J31" s="11">
        <f t="shared" si="3"/>
        <v>1.5434651711697445</v>
      </c>
      <c r="K31" s="8"/>
      <c r="L31" s="8"/>
      <c r="Q31" s="16"/>
      <c r="R31" s="16"/>
      <c r="S31" s="16"/>
      <c r="T31" s="8"/>
      <c r="U31" s="8"/>
      <c r="V31" s="8"/>
      <c r="W31" s="8"/>
      <c r="X31" s="8"/>
      <c r="Y31" s="8"/>
      <c r="Z31" s="8"/>
      <c r="AA31" s="8"/>
      <c r="AE31" s="8"/>
    </row>
    <row r="32" spans="1:31" x14ac:dyDescent="0.2">
      <c r="A32" s="4" t="s">
        <v>131</v>
      </c>
      <c r="C32" s="25">
        <v>78169</v>
      </c>
      <c r="D32" s="6">
        <v>94291</v>
      </c>
      <c r="E32" s="6">
        <v>108585</v>
      </c>
      <c r="F32" s="6">
        <v>114068</v>
      </c>
      <c r="G32" s="27">
        <f t="shared" si="0"/>
        <v>1.8917705084033898</v>
      </c>
      <c r="H32" s="11">
        <f t="shared" si="1"/>
        <v>2.7224714516662862</v>
      </c>
      <c r="I32" s="11">
        <f t="shared" si="2"/>
        <v>1.0417252916249842</v>
      </c>
      <c r="J32" s="11">
        <f t="shared" si="3"/>
        <v>1.9207398032544232</v>
      </c>
      <c r="K32" s="8"/>
      <c r="L32" s="8"/>
      <c r="Q32" s="16"/>
      <c r="R32" s="16"/>
      <c r="S32" s="16"/>
      <c r="T32" s="8"/>
      <c r="U32" s="8"/>
      <c r="V32" s="8"/>
      <c r="W32" s="8"/>
      <c r="X32" s="8"/>
      <c r="Y32" s="8"/>
      <c r="Z32" s="8"/>
      <c r="AA32" s="8"/>
      <c r="AE32" s="8"/>
    </row>
    <row r="33" spans="1:31" x14ac:dyDescent="0.2">
      <c r="A33" s="4" t="s">
        <v>15</v>
      </c>
      <c r="C33" s="25">
        <v>26924</v>
      </c>
      <c r="D33" s="6">
        <v>30701</v>
      </c>
      <c r="E33" s="6">
        <v>33149</v>
      </c>
      <c r="F33" s="6">
        <v>36172</v>
      </c>
      <c r="G33" s="27">
        <f t="shared" si="0"/>
        <v>1.3206976965984829</v>
      </c>
      <c r="H33" s="11">
        <f t="shared" si="1"/>
        <v>1.4706583639291892</v>
      </c>
      <c r="I33" s="11">
        <f t="shared" si="2"/>
        <v>1.8529562169072644</v>
      </c>
      <c r="J33" s="11">
        <f t="shared" si="3"/>
        <v>1.6520522830095752</v>
      </c>
      <c r="K33" s="8"/>
      <c r="L33" s="8"/>
      <c r="Q33" s="16"/>
      <c r="R33" s="16"/>
      <c r="S33" s="16"/>
      <c r="T33" s="8"/>
      <c r="U33" s="8"/>
      <c r="V33" s="8"/>
      <c r="W33" s="8"/>
      <c r="X33" s="8"/>
      <c r="Y33" s="8"/>
      <c r="Z33" s="8"/>
      <c r="AA33" s="8"/>
      <c r="AE33" s="8"/>
    </row>
    <row r="34" spans="1:31" x14ac:dyDescent="0.2">
      <c r="A34" s="4" t="s">
        <v>129</v>
      </c>
      <c r="C34" s="25">
        <v>16278</v>
      </c>
      <c r="D34" s="6">
        <v>20599</v>
      </c>
      <c r="E34" s="6">
        <v>22623</v>
      </c>
      <c r="F34" s="6">
        <v>23908</v>
      </c>
      <c r="G34" s="27">
        <f t="shared" si="0"/>
        <v>2.3808922107535047</v>
      </c>
      <c r="H34" s="11">
        <f t="shared" si="1"/>
        <v>1.7996019468825786</v>
      </c>
      <c r="I34" s="11">
        <f t="shared" si="2"/>
        <v>1.1690168529826739</v>
      </c>
      <c r="J34" s="11">
        <f t="shared" si="3"/>
        <v>1.4996156614546896</v>
      </c>
      <c r="K34" s="8"/>
      <c r="L34" s="8"/>
      <c r="Q34" s="16"/>
      <c r="R34" s="16"/>
      <c r="S34" s="16"/>
      <c r="T34" s="8"/>
      <c r="U34" s="8"/>
      <c r="V34" s="8"/>
      <c r="W34" s="8"/>
      <c r="X34" s="8"/>
      <c r="Y34" s="8"/>
      <c r="Z34" s="8"/>
      <c r="AA34" s="8"/>
      <c r="AE34" s="8"/>
    </row>
    <row r="35" spans="1:31" x14ac:dyDescent="0.2">
      <c r="A35" s="4" t="s">
        <v>3</v>
      </c>
      <c r="C35" s="25">
        <v>49041</v>
      </c>
      <c r="D35" s="6">
        <v>59598</v>
      </c>
      <c r="E35" s="6">
        <v>65424</v>
      </c>
      <c r="F35" s="6">
        <v>69009</v>
      </c>
      <c r="G35" s="27">
        <f t="shared" si="0"/>
        <v>1.9676944622270653</v>
      </c>
      <c r="H35" s="11">
        <f t="shared" si="1"/>
        <v>1.7907410658728251</v>
      </c>
      <c r="I35" s="11">
        <f t="shared" si="2"/>
        <v>1.128623164075071</v>
      </c>
      <c r="J35" s="11">
        <f t="shared" si="3"/>
        <v>1.4757279903408138</v>
      </c>
      <c r="K35" s="8"/>
      <c r="L35" s="8"/>
      <c r="Q35" s="16"/>
      <c r="R35" s="16"/>
      <c r="S35" s="16"/>
      <c r="T35" s="8"/>
      <c r="U35" s="8"/>
      <c r="V35" s="8"/>
      <c r="W35" s="8"/>
      <c r="X35" s="8"/>
      <c r="Y35" s="8"/>
      <c r="Z35" s="8"/>
      <c r="AA35" s="8"/>
      <c r="AE35" s="8"/>
    </row>
    <row r="36" spans="1:31" x14ac:dyDescent="0.2">
      <c r="A36" s="4" t="s">
        <v>55</v>
      </c>
      <c r="C36" s="25">
        <v>14074</v>
      </c>
      <c r="D36" s="6">
        <v>17415</v>
      </c>
      <c r="E36" s="6">
        <v>21127</v>
      </c>
      <c r="F36" s="6">
        <v>21559</v>
      </c>
      <c r="G36" s="27">
        <f t="shared" si="0"/>
        <v>2.15168321688608</v>
      </c>
      <c r="H36" s="11">
        <f t="shared" si="1"/>
        <v>3.7454604941649317</v>
      </c>
      <c r="I36" s="11">
        <f t="shared" si="2"/>
        <v>0.42673818169385314</v>
      </c>
      <c r="J36" s="11">
        <f t="shared" si="3"/>
        <v>2.155769620606085</v>
      </c>
      <c r="K36" s="8"/>
      <c r="L36" s="8"/>
      <c r="Q36" s="16"/>
      <c r="R36" s="16"/>
      <c r="S36" s="16"/>
      <c r="T36" s="8"/>
      <c r="U36" s="8"/>
      <c r="V36" s="8"/>
      <c r="W36" s="8"/>
      <c r="X36" s="8"/>
      <c r="Y36" s="8"/>
      <c r="Z36" s="8"/>
      <c r="AA36" s="8"/>
      <c r="AE36" s="8"/>
    </row>
    <row r="37" spans="1:31" ht="14.25" x14ac:dyDescent="0.2">
      <c r="A37" s="4" t="s">
        <v>153</v>
      </c>
      <c r="C37" s="25">
        <v>80393</v>
      </c>
      <c r="D37" s="6">
        <v>124740</v>
      </c>
      <c r="E37" s="6">
        <v>179844</v>
      </c>
      <c r="F37" s="6">
        <v>218500</v>
      </c>
      <c r="G37" s="27">
        <f t="shared" si="0"/>
        <v>4.488453662391545</v>
      </c>
      <c r="H37" s="11">
        <f t="shared" si="1"/>
        <v>7.2104672369466716</v>
      </c>
      <c r="I37" s="11">
        <f t="shared" si="2"/>
        <v>4.1809540734125683</v>
      </c>
      <c r="J37" s="11">
        <f t="shared" si="3"/>
        <v>5.7607634945203934</v>
      </c>
      <c r="K37" s="8"/>
      <c r="L37" s="8"/>
      <c r="Q37" s="16"/>
      <c r="R37" s="16"/>
      <c r="S37" s="16"/>
      <c r="T37" s="8"/>
      <c r="U37" s="8"/>
      <c r="V37" s="8"/>
      <c r="W37" s="8"/>
      <c r="X37" s="8"/>
      <c r="Y37" s="8"/>
      <c r="Z37" s="8"/>
      <c r="AA37" s="8"/>
      <c r="AE37" s="8"/>
    </row>
    <row r="38" spans="1:31" x14ac:dyDescent="0.2">
      <c r="A38" s="4" t="s">
        <v>4</v>
      </c>
      <c r="C38" s="25">
        <v>43455</v>
      </c>
      <c r="D38" s="6">
        <v>51503</v>
      </c>
      <c r="E38" s="6">
        <v>56327</v>
      </c>
      <c r="F38" s="6">
        <v>61460</v>
      </c>
      <c r="G38" s="27">
        <f t="shared" si="0"/>
        <v>1.7127124320083009</v>
      </c>
      <c r="H38" s="11">
        <f t="shared" si="1"/>
        <v>1.7184506220858875</v>
      </c>
      <c r="I38" s="11">
        <f t="shared" si="2"/>
        <v>1.8516657498345968</v>
      </c>
      <c r="J38" s="11">
        <f t="shared" si="3"/>
        <v>1.7816996871081958</v>
      </c>
      <c r="K38" s="8"/>
      <c r="L38" s="8"/>
      <c r="Q38" s="16"/>
      <c r="R38" s="16"/>
      <c r="S38" s="16"/>
      <c r="T38" s="8"/>
      <c r="U38" s="8"/>
      <c r="V38" s="8"/>
      <c r="W38" s="8"/>
      <c r="X38" s="8"/>
      <c r="Y38" s="8"/>
      <c r="Z38" s="8"/>
      <c r="AA38" s="8"/>
      <c r="AE38" s="8"/>
    </row>
    <row r="39" spans="1:31" x14ac:dyDescent="0.2">
      <c r="A39" s="4" t="s">
        <v>5</v>
      </c>
      <c r="C39" s="25">
        <v>32465</v>
      </c>
      <c r="D39" s="6">
        <v>39600</v>
      </c>
      <c r="E39" s="6">
        <v>45301</v>
      </c>
      <c r="F39" s="6">
        <v>46238</v>
      </c>
      <c r="G39" s="27">
        <f t="shared" si="0"/>
        <v>2.0054210419690799</v>
      </c>
      <c r="H39" s="11">
        <f t="shared" si="1"/>
        <v>2.5926052423563606</v>
      </c>
      <c r="I39" s="11">
        <f t="shared" si="2"/>
        <v>0.43162596217289906</v>
      </c>
      <c r="J39" s="11">
        <f t="shared" si="3"/>
        <v>1.5605065190446243</v>
      </c>
      <c r="K39" s="8"/>
      <c r="L39" s="8"/>
      <c r="Q39" s="16"/>
      <c r="R39" s="16"/>
      <c r="S39" s="16"/>
      <c r="T39" s="8"/>
      <c r="U39" s="8"/>
      <c r="V39" s="8"/>
      <c r="W39" s="8"/>
      <c r="X39" s="8"/>
      <c r="Y39" s="8"/>
      <c r="Z39" s="8"/>
      <c r="AA39" s="8"/>
      <c r="AE39" s="8"/>
    </row>
    <row r="40" spans="1:31" x14ac:dyDescent="0.2">
      <c r="A40" s="4" t="s">
        <v>6</v>
      </c>
      <c r="C40" s="25">
        <v>117539</v>
      </c>
      <c r="D40" s="6">
        <v>152393</v>
      </c>
      <c r="E40" s="6">
        <v>173366</v>
      </c>
      <c r="F40" s="6">
        <v>193936</v>
      </c>
      <c r="G40" s="27">
        <f t="shared" si="0"/>
        <v>2.6294794721854142</v>
      </c>
      <c r="H40" s="11">
        <f t="shared" si="1"/>
        <v>2.4841555468252174</v>
      </c>
      <c r="I40" s="11">
        <f t="shared" si="2"/>
        <v>2.3868280934230546</v>
      </c>
      <c r="J40" s="11">
        <f t="shared" si="3"/>
        <v>2.4379181386620985</v>
      </c>
      <c r="K40" s="8"/>
      <c r="L40" s="8"/>
      <c r="Q40" s="16"/>
      <c r="R40" s="16"/>
      <c r="S40" s="16"/>
      <c r="T40" s="8"/>
      <c r="U40" s="8"/>
      <c r="V40" s="8"/>
      <c r="W40" s="8"/>
      <c r="X40" s="8"/>
      <c r="Y40" s="8"/>
      <c r="Z40" s="8"/>
      <c r="AA40" s="8"/>
      <c r="AE40" s="8"/>
    </row>
    <row r="41" spans="1:31" x14ac:dyDescent="0.2">
      <c r="A41" s="4" t="s">
        <v>7</v>
      </c>
      <c r="C41" s="25">
        <v>29836</v>
      </c>
      <c r="D41" s="6">
        <v>35357</v>
      </c>
      <c r="E41" s="6">
        <v>38007</v>
      </c>
      <c r="F41" s="6">
        <v>40146</v>
      </c>
      <c r="G41" s="27">
        <f t="shared" si="0"/>
        <v>1.7113556853037837</v>
      </c>
      <c r="H41" s="11">
        <f t="shared" si="1"/>
        <v>1.3848928193530563</v>
      </c>
      <c r="I41" s="11">
        <f t="shared" si="2"/>
        <v>1.1585121839818857</v>
      </c>
      <c r="J41" s="11">
        <f t="shared" si="3"/>
        <v>1.2773097642386766</v>
      </c>
      <c r="K41" s="8"/>
      <c r="L41" s="8"/>
      <c r="Q41" s="16"/>
      <c r="R41" s="16"/>
      <c r="S41" s="16"/>
      <c r="T41" s="8"/>
      <c r="U41" s="8"/>
      <c r="V41" s="8"/>
      <c r="W41" s="8"/>
      <c r="X41" s="8"/>
      <c r="Y41" s="8"/>
      <c r="Z41" s="8"/>
      <c r="AA41" s="8"/>
      <c r="AE41" s="8"/>
    </row>
    <row r="42" spans="1:31" x14ac:dyDescent="0.2">
      <c r="A42" s="4" t="s">
        <v>8</v>
      </c>
      <c r="C42" s="25">
        <v>17028</v>
      </c>
      <c r="D42" s="6">
        <v>16870</v>
      </c>
      <c r="E42" s="6">
        <v>17919</v>
      </c>
      <c r="F42" s="6">
        <v>19215</v>
      </c>
      <c r="G42" s="27">
        <f t="shared" si="0"/>
        <v>-9.3127071574394815E-2</v>
      </c>
      <c r="H42" s="11">
        <f t="shared" si="1"/>
        <v>1.1546083551611463</v>
      </c>
      <c r="I42" s="11">
        <f t="shared" si="2"/>
        <v>1.4798815471370519</v>
      </c>
      <c r="J42" s="11">
        <f t="shared" si="3"/>
        <v>1.3089673359988785</v>
      </c>
      <c r="K42" s="8"/>
      <c r="L42" s="8"/>
      <c r="Q42" s="16"/>
      <c r="R42" s="16"/>
      <c r="S42" s="16"/>
      <c r="T42" s="8"/>
      <c r="U42" s="8"/>
      <c r="V42" s="8"/>
      <c r="W42" s="8"/>
      <c r="X42" s="8"/>
      <c r="Y42" s="8"/>
      <c r="Z42" s="8"/>
      <c r="AA42" s="8"/>
      <c r="AE42" s="8"/>
    </row>
    <row r="43" spans="1:31" x14ac:dyDescent="0.2">
      <c r="A43" s="4" t="s">
        <v>9</v>
      </c>
      <c r="C43" s="25">
        <v>35672</v>
      </c>
      <c r="D43" s="6">
        <v>40734</v>
      </c>
      <c r="E43" s="6">
        <v>43743</v>
      </c>
      <c r="F43" s="6">
        <v>46519</v>
      </c>
      <c r="G43" s="27">
        <f t="shared" si="0"/>
        <v>1.3350774857757708</v>
      </c>
      <c r="H43" s="11">
        <f t="shared" si="1"/>
        <v>1.3654950549345957</v>
      </c>
      <c r="I43" s="11">
        <f t="shared" si="2"/>
        <v>1.3028328536539346</v>
      </c>
      <c r="J43" s="11">
        <f t="shared" si="3"/>
        <v>1.3357286797732071</v>
      </c>
      <c r="K43" s="8"/>
      <c r="L43" s="8"/>
      <c r="Q43" s="16"/>
      <c r="R43" s="16"/>
      <c r="S43" s="16"/>
      <c r="T43" s="8"/>
      <c r="U43" s="8"/>
      <c r="V43" s="8"/>
      <c r="W43" s="8"/>
      <c r="X43" s="8"/>
      <c r="Y43" s="8"/>
      <c r="Z43" s="8"/>
      <c r="AA43" s="8"/>
      <c r="AE43" s="8"/>
    </row>
    <row r="44" spans="1:31" x14ac:dyDescent="0.2">
      <c r="C44" s="25"/>
      <c r="D44" s="6"/>
      <c r="E44" s="6"/>
      <c r="F44" s="6"/>
      <c r="G44" s="27"/>
      <c r="H44" s="11"/>
      <c r="I44" s="11"/>
      <c r="J44" s="11"/>
      <c r="K44" s="8"/>
      <c r="L44" s="8"/>
      <c r="T44" s="8"/>
      <c r="U44" s="8"/>
      <c r="V44" s="8"/>
      <c r="W44" s="8"/>
      <c r="X44" s="8"/>
      <c r="Y44" s="8"/>
      <c r="Z44" s="8"/>
      <c r="AA44" s="8"/>
      <c r="AE44" s="8"/>
    </row>
    <row r="45" spans="1:31" s="8" customFormat="1" x14ac:dyDescent="0.2">
      <c r="A45" s="8" t="s">
        <v>120</v>
      </c>
      <c r="C45" s="9">
        <f>SUM(C46:C68)</f>
        <v>2063161</v>
      </c>
      <c r="D45" s="9">
        <f>SUM(D46:D68)</f>
        <v>3090691</v>
      </c>
      <c r="E45" s="9">
        <f>SUM(E46:E68)</f>
        <v>3678301</v>
      </c>
      <c r="F45" s="9">
        <f>SUM(F46:F68)</f>
        <v>4344829</v>
      </c>
      <c r="G45" s="28">
        <f t="shared" si="0"/>
        <v>4.1220318450611027</v>
      </c>
      <c r="H45" s="10">
        <f t="shared" ref="H45:H68" si="4">(((E45/D45)^(1/(($E$5-$D$5)/365))-1)*100)</f>
        <v>3.3678010424157634</v>
      </c>
      <c r="I45" s="10">
        <f t="shared" ref="I45:I68" si="5">(((F45/E45)^(1/(($F$5-$E$5)/365))-1)*100)</f>
        <v>3.5655783717833289</v>
      </c>
      <c r="J45" s="10">
        <f t="shared" ref="J45:J68" si="6">(((F45/D45)^(1/(($F$5-$D$5)/365))-1)*100)</f>
        <v>3.4616886619140086</v>
      </c>
      <c r="M45" s="4"/>
      <c r="N45" s="6"/>
      <c r="O45" s="6"/>
      <c r="P45" s="6"/>
      <c r="Q45" s="16"/>
      <c r="R45" s="16"/>
      <c r="S45" s="16"/>
    </row>
    <row r="46" spans="1:31" x14ac:dyDescent="0.2">
      <c r="A46" s="4" t="s">
        <v>10</v>
      </c>
      <c r="C46" s="25">
        <v>39674</v>
      </c>
      <c r="D46" s="6">
        <v>48567</v>
      </c>
      <c r="E46" s="6">
        <v>51839</v>
      </c>
      <c r="F46" s="6">
        <v>59306</v>
      </c>
      <c r="G46" s="27">
        <f t="shared" si="0"/>
        <v>2.0419427938791701</v>
      </c>
      <c r="H46" s="11">
        <f t="shared" si="4"/>
        <v>1.2484717373999477</v>
      </c>
      <c r="I46" s="11">
        <f t="shared" si="5"/>
        <v>2.8714161570867924</v>
      </c>
      <c r="J46" s="11">
        <f t="shared" si="6"/>
        <v>2.0160750781864634</v>
      </c>
      <c r="K46" s="8"/>
      <c r="L46" s="8"/>
      <c r="Q46" s="16"/>
      <c r="R46" s="16"/>
      <c r="S46" s="16"/>
      <c r="T46" s="8"/>
      <c r="U46" s="8"/>
      <c r="V46" s="8"/>
      <c r="W46" s="8"/>
      <c r="X46" s="8"/>
      <c r="Y46" s="8"/>
      <c r="Z46" s="8"/>
      <c r="AA46" s="8"/>
      <c r="AE46" s="8"/>
    </row>
    <row r="47" spans="1:31" x14ac:dyDescent="0.2">
      <c r="A47" s="4" t="s">
        <v>11</v>
      </c>
      <c r="C47" s="25">
        <v>25737</v>
      </c>
      <c r="D47" s="6">
        <v>33457</v>
      </c>
      <c r="E47" s="6">
        <v>37649</v>
      </c>
      <c r="F47" s="6">
        <v>41901</v>
      </c>
      <c r="G47" s="27">
        <f t="shared" si="0"/>
        <v>2.6565507952745149</v>
      </c>
      <c r="H47" s="11">
        <f t="shared" si="4"/>
        <v>2.2718538163073454</v>
      </c>
      <c r="I47" s="11">
        <f t="shared" si="5"/>
        <v>2.2766060128012855</v>
      </c>
      <c r="J47" s="11">
        <f t="shared" si="6"/>
        <v>2.2741108544518385</v>
      </c>
      <c r="K47" s="8"/>
      <c r="L47" s="8"/>
      <c r="M47" s="8"/>
      <c r="N47" s="9"/>
      <c r="O47" s="9"/>
      <c r="P47" s="9"/>
      <c r="Q47" s="15"/>
      <c r="R47" s="15"/>
      <c r="S47" s="15"/>
      <c r="T47" s="8"/>
      <c r="U47" s="8"/>
      <c r="V47" s="8"/>
      <c r="W47" s="8"/>
      <c r="X47" s="8"/>
      <c r="Y47" s="8"/>
      <c r="Z47" s="8"/>
      <c r="AA47" s="8"/>
      <c r="AE47" s="8"/>
    </row>
    <row r="48" spans="1:31" x14ac:dyDescent="0.2">
      <c r="A48" s="4" t="s">
        <v>141</v>
      </c>
      <c r="C48" s="25">
        <v>305699</v>
      </c>
      <c r="D48" s="6">
        <v>520216</v>
      </c>
      <c r="E48" s="6">
        <v>600609</v>
      </c>
      <c r="F48" s="6">
        <v>664625</v>
      </c>
      <c r="G48" s="27">
        <f t="shared" si="0"/>
        <v>5.4572213692346105</v>
      </c>
      <c r="H48" s="11">
        <f t="shared" si="4"/>
        <v>2.7723806737995016</v>
      </c>
      <c r="I48" s="11">
        <f t="shared" si="5"/>
        <v>2.153510178522211</v>
      </c>
      <c r="J48" s="11">
        <f t="shared" si="6"/>
        <v>2.477980741144914</v>
      </c>
      <c r="K48" s="8"/>
      <c r="L48" s="8"/>
      <c r="Q48" s="16"/>
      <c r="R48" s="16"/>
      <c r="S48" s="16"/>
      <c r="T48" s="8"/>
      <c r="U48" s="8"/>
      <c r="V48" s="8"/>
      <c r="W48" s="8"/>
      <c r="X48" s="8"/>
      <c r="Y48" s="8"/>
      <c r="Z48" s="8"/>
      <c r="AA48" s="8"/>
      <c r="AE48" s="8"/>
    </row>
    <row r="49" spans="1:31" x14ac:dyDescent="0.2">
      <c r="A49" s="4" t="s">
        <v>12</v>
      </c>
      <c r="C49" s="25">
        <v>47856</v>
      </c>
      <c r="D49" s="6">
        <v>74986</v>
      </c>
      <c r="E49" s="6">
        <v>97557</v>
      </c>
      <c r="F49" s="6">
        <v>106256</v>
      </c>
      <c r="G49" s="27">
        <f t="shared" si="0"/>
        <v>4.5908512578363814</v>
      </c>
      <c r="H49" s="11">
        <f t="shared" si="4"/>
        <v>5.1350256282120421</v>
      </c>
      <c r="I49" s="11">
        <f t="shared" si="5"/>
        <v>1.8131449502010843</v>
      </c>
      <c r="J49" s="11">
        <f t="shared" si="6"/>
        <v>3.5439899746130488</v>
      </c>
      <c r="K49" s="8"/>
      <c r="L49" s="8"/>
      <c r="Q49" s="16"/>
      <c r="R49" s="16"/>
      <c r="S49" s="16"/>
      <c r="T49" s="8"/>
      <c r="U49" s="8"/>
      <c r="V49" s="8"/>
      <c r="W49" s="8"/>
      <c r="X49" s="8"/>
      <c r="Y49" s="8"/>
      <c r="Z49" s="8"/>
      <c r="AA49" s="8"/>
      <c r="AE49" s="8"/>
    </row>
    <row r="50" spans="1:31" x14ac:dyDescent="0.2">
      <c r="A50" s="4" t="s">
        <v>142</v>
      </c>
      <c r="C50" s="25">
        <v>99367</v>
      </c>
      <c r="D50" s="6">
        <v>101120</v>
      </c>
      <c r="E50" s="6">
        <v>102806</v>
      </c>
      <c r="F50" s="6">
        <v>100674</v>
      </c>
      <c r="G50" s="27">
        <f t="shared" si="0"/>
        <v>0.17493570094091471</v>
      </c>
      <c r="H50" s="11">
        <f t="shared" si="4"/>
        <v>0.31517562353635675</v>
      </c>
      <c r="I50" s="11">
        <f t="shared" si="5"/>
        <v>-0.43989373135329135</v>
      </c>
      <c r="J50" s="11">
        <f t="shared" si="6"/>
        <v>-4.4157512467302151E-2</v>
      </c>
      <c r="K50" s="8"/>
      <c r="L50" s="8"/>
      <c r="Q50" s="16"/>
      <c r="R50" s="16"/>
      <c r="S50" s="16"/>
      <c r="T50" s="8"/>
      <c r="U50" s="8"/>
      <c r="V50" s="8"/>
      <c r="W50" s="8"/>
      <c r="X50" s="8"/>
      <c r="Y50" s="8"/>
      <c r="Z50" s="8"/>
      <c r="AA50" s="8"/>
      <c r="AE50" s="8"/>
    </row>
    <row r="51" spans="1:31" x14ac:dyDescent="0.2">
      <c r="A51" s="4" t="s">
        <v>58</v>
      </c>
      <c r="C51" s="25">
        <v>379520</v>
      </c>
      <c r="D51" s="6">
        <v>575817</v>
      </c>
      <c r="E51" s="6">
        <v>659019</v>
      </c>
      <c r="F51" s="6">
        <v>703141</v>
      </c>
      <c r="G51" s="27">
        <f t="shared" si="0"/>
        <v>4.2545616094008309</v>
      </c>
      <c r="H51" s="11">
        <f t="shared" si="4"/>
        <v>2.6016348199890071</v>
      </c>
      <c r="I51" s="11">
        <f t="shared" si="5"/>
        <v>1.3726702132617508</v>
      </c>
      <c r="J51" s="11">
        <f t="shared" si="6"/>
        <v>2.0160887922665127</v>
      </c>
      <c r="K51" s="8"/>
      <c r="L51" s="8"/>
      <c r="Q51" s="16"/>
      <c r="R51" s="16"/>
      <c r="S51" s="16"/>
      <c r="T51" s="8"/>
      <c r="U51" s="8"/>
      <c r="V51" s="8"/>
      <c r="W51" s="8"/>
      <c r="X51" s="8"/>
      <c r="Y51" s="8"/>
      <c r="Z51" s="8"/>
      <c r="AA51" s="8"/>
      <c r="AE51" s="8"/>
    </row>
    <row r="52" spans="1:31" x14ac:dyDescent="0.2">
      <c r="A52" s="4" t="s">
        <v>13</v>
      </c>
      <c r="C52" s="25">
        <v>14323</v>
      </c>
      <c r="D52" s="6">
        <v>17507</v>
      </c>
      <c r="E52" s="6">
        <v>22220</v>
      </c>
      <c r="F52" s="6">
        <v>23973</v>
      </c>
      <c r="G52" s="27">
        <f t="shared" si="0"/>
        <v>2.0265026355579474</v>
      </c>
      <c r="H52" s="11">
        <f t="shared" si="4"/>
        <v>4.6411368608358705</v>
      </c>
      <c r="I52" s="11">
        <f t="shared" si="5"/>
        <v>1.6103165780463558</v>
      </c>
      <c r="J52" s="11">
        <f t="shared" si="6"/>
        <v>3.1905327259310612</v>
      </c>
      <c r="K52" s="8"/>
      <c r="L52" s="8"/>
      <c r="Q52" s="16"/>
      <c r="R52" s="16"/>
      <c r="S52" s="16"/>
      <c r="T52" s="8"/>
      <c r="U52" s="8"/>
      <c r="V52" s="8"/>
      <c r="W52" s="8"/>
      <c r="X52" s="8"/>
      <c r="Y52" s="8"/>
      <c r="Z52" s="8"/>
      <c r="AA52" s="8"/>
      <c r="AE52" s="8"/>
    </row>
    <row r="53" spans="1:31" x14ac:dyDescent="0.2">
      <c r="A53" s="4" t="s">
        <v>139</v>
      </c>
      <c r="C53" s="25">
        <v>107691</v>
      </c>
      <c r="D53" s="6">
        <v>243322</v>
      </c>
      <c r="E53" s="6">
        <v>314303</v>
      </c>
      <c r="F53" s="6">
        <v>450583</v>
      </c>
      <c r="G53" s="27">
        <f t="shared" si="0"/>
        <v>8.4877769440760531</v>
      </c>
      <c r="H53" s="11">
        <f t="shared" si="4"/>
        <v>4.9917984585580166</v>
      </c>
      <c r="I53" s="11">
        <f t="shared" si="5"/>
        <v>7.8718486349791617</v>
      </c>
      <c r="J53" s="11">
        <f t="shared" si="6"/>
        <v>6.3499687328688159</v>
      </c>
      <c r="K53" s="8"/>
      <c r="L53" s="8"/>
      <c r="Q53" s="16"/>
      <c r="R53" s="16"/>
      <c r="S53" s="16"/>
      <c r="T53" s="8"/>
      <c r="U53" s="8"/>
      <c r="V53" s="8"/>
      <c r="W53" s="8"/>
      <c r="X53" s="8"/>
      <c r="Y53" s="8"/>
      <c r="Z53" s="8"/>
      <c r="AA53" s="8"/>
      <c r="AE53" s="8"/>
    </row>
    <row r="54" spans="1:31" x14ac:dyDescent="0.2">
      <c r="A54" s="4" t="s">
        <v>143</v>
      </c>
      <c r="C54" s="25">
        <v>195482</v>
      </c>
      <c r="D54" s="6">
        <v>301624</v>
      </c>
      <c r="E54" s="6">
        <v>403785</v>
      </c>
      <c r="F54" s="6">
        <v>496794</v>
      </c>
      <c r="G54" s="27">
        <f t="shared" si="0"/>
        <v>4.4300766432643801</v>
      </c>
      <c r="H54" s="11">
        <f t="shared" si="4"/>
        <v>5.7081137929213988</v>
      </c>
      <c r="I54" s="11">
        <f t="shared" si="5"/>
        <v>4.4574022298418337</v>
      </c>
      <c r="J54" s="11">
        <f t="shared" si="6"/>
        <v>5.1122294149157588</v>
      </c>
      <c r="K54" s="8"/>
      <c r="L54" s="8"/>
      <c r="Q54" s="16"/>
      <c r="R54" s="16"/>
      <c r="S54" s="16"/>
      <c r="T54" s="8"/>
      <c r="U54" s="8"/>
      <c r="V54" s="8"/>
      <c r="W54" s="8"/>
      <c r="X54" s="8"/>
      <c r="Y54" s="8"/>
      <c r="Z54" s="8"/>
      <c r="AA54" s="8"/>
      <c r="AE54" s="8"/>
    </row>
    <row r="55" spans="1:31" x14ac:dyDescent="0.2">
      <c r="A55" s="4" t="s">
        <v>26</v>
      </c>
      <c r="C55" s="25">
        <v>51281</v>
      </c>
      <c r="D55" s="6">
        <v>62030</v>
      </c>
      <c r="E55" s="6">
        <v>65599</v>
      </c>
      <c r="F55" s="6">
        <v>68699</v>
      </c>
      <c r="G55" s="27">
        <f t="shared" si="0"/>
        <v>1.9201381195125711</v>
      </c>
      <c r="H55" s="11">
        <f t="shared" si="4"/>
        <v>1.0702826146976596</v>
      </c>
      <c r="I55" s="11">
        <f t="shared" si="5"/>
        <v>0.97612116885685829</v>
      </c>
      <c r="J55" s="11">
        <f t="shared" si="6"/>
        <v>1.0255494955320854</v>
      </c>
      <c r="K55" s="8"/>
      <c r="L55" s="8"/>
      <c r="Q55" s="16"/>
      <c r="R55" s="16"/>
      <c r="S55" s="16"/>
      <c r="T55" s="8"/>
      <c r="U55" s="8"/>
      <c r="V55" s="8"/>
      <c r="W55" s="8"/>
      <c r="X55" s="8"/>
      <c r="Y55" s="8"/>
      <c r="Z55" s="8"/>
      <c r="AA55" s="8"/>
      <c r="AE55" s="8"/>
    </row>
    <row r="56" spans="1:31" x14ac:dyDescent="0.2">
      <c r="A56" s="4" t="s">
        <v>27</v>
      </c>
      <c r="C56" s="25">
        <v>62751</v>
      </c>
      <c r="D56" s="6">
        <v>78209</v>
      </c>
      <c r="E56" s="6">
        <v>83466</v>
      </c>
      <c r="F56" s="6">
        <v>107535</v>
      </c>
      <c r="G56" s="27">
        <f t="shared" si="0"/>
        <v>2.2252945783771683</v>
      </c>
      <c r="H56" s="11">
        <f t="shared" si="4"/>
        <v>1.2457002728966104</v>
      </c>
      <c r="I56" s="11">
        <f t="shared" si="5"/>
        <v>5.4750343577975924</v>
      </c>
      <c r="J56" s="11">
        <f t="shared" si="6"/>
        <v>3.2328585911621133</v>
      </c>
      <c r="K56" s="8"/>
      <c r="L56" s="8"/>
      <c r="Q56" s="16"/>
      <c r="R56" s="16"/>
      <c r="S56" s="16"/>
      <c r="T56" s="8"/>
      <c r="U56" s="8"/>
      <c r="V56" s="8"/>
      <c r="W56" s="8"/>
      <c r="X56" s="8"/>
      <c r="Y56" s="8"/>
      <c r="Z56" s="8"/>
      <c r="AA56" s="8"/>
      <c r="AE56" s="8"/>
    </row>
    <row r="57" spans="1:31" x14ac:dyDescent="0.2">
      <c r="A57" s="4" t="s">
        <v>28</v>
      </c>
      <c r="C57" s="25">
        <v>18090</v>
      </c>
      <c r="D57" s="6">
        <v>21231</v>
      </c>
      <c r="E57" s="6">
        <v>22727</v>
      </c>
      <c r="F57" s="6">
        <v>23851</v>
      </c>
      <c r="G57" s="27">
        <f t="shared" si="0"/>
        <v>1.6130250111756839</v>
      </c>
      <c r="H57" s="11">
        <f t="shared" si="4"/>
        <v>1.3042249254310523</v>
      </c>
      <c r="I57" s="11">
        <f t="shared" si="5"/>
        <v>1.0207049993514739</v>
      </c>
      <c r="J57" s="11">
        <f t="shared" si="6"/>
        <v>1.1694674648790482</v>
      </c>
      <c r="K57" s="8"/>
      <c r="L57" s="8"/>
      <c r="Q57" s="16"/>
      <c r="R57" s="16"/>
      <c r="S57" s="16"/>
      <c r="T57" s="8"/>
      <c r="U57" s="8"/>
      <c r="V57" s="8"/>
      <c r="W57" s="8"/>
      <c r="X57" s="8"/>
      <c r="Y57" s="8"/>
      <c r="Z57" s="8"/>
      <c r="AA57" s="8"/>
      <c r="AE57" s="8"/>
    </row>
    <row r="58" spans="1:31" x14ac:dyDescent="0.2">
      <c r="A58" s="4" t="s">
        <v>29</v>
      </c>
      <c r="C58" s="25">
        <v>31227</v>
      </c>
      <c r="D58" s="6">
        <v>35289</v>
      </c>
      <c r="E58" s="6">
        <v>37720</v>
      </c>
      <c r="F58" s="6">
        <v>40687</v>
      </c>
      <c r="G58" s="27">
        <f t="shared" si="0"/>
        <v>1.2297117852894113</v>
      </c>
      <c r="H58" s="11">
        <f t="shared" si="4"/>
        <v>1.275848918345357</v>
      </c>
      <c r="I58" s="11">
        <f t="shared" si="5"/>
        <v>1.6056729216691323</v>
      </c>
      <c r="J58" s="11">
        <f t="shared" si="6"/>
        <v>1.4323658108568393</v>
      </c>
      <c r="K58" s="8"/>
      <c r="L58" s="8"/>
      <c r="Q58" s="16"/>
      <c r="R58" s="16"/>
      <c r="S58" s="16"/>
      <c r="T58" s="8"/>
      <c r="U58" s="8"/>
      <c r="V58" s="8"/>
      <c r="W58" s="8"/>
      <c r="X58" s="8"/>
      <c r="Y58" s="8"/>
      <c r="Z58" s="8"/>
      <c r="AA58" s="8"/>
      <c r="AE58" s="8"/>
    </row>
    <row r="59" spans="1:31" x14ac:dyDescent="0.2">
      <c r="A59" s="4" t="s">
        <v>30</v>
      </c>
      <c r="C59" s="25">
        <v>22937</v>
      </c>
      <c r="D59" s="6">
        <v>28570</v>
      </c>
      <c r="E59" s="6">
        <v>31529</v>
      </c>
      <c r="F59" s="6">
        <v>34879</v>
      </c>
      <c r="G59" s="27">
        <f t="shared" si="0"/>
        <v>2.2191203947089733</v>
      </c>
      <c r="H59" s="11">
        <f t="shared" si="4"/>
        <v>1.8931372728055784</v>
      </c>
      <c r="I59" s="11">
        <f t="shared" si="5"/>
        <v>2.1470275641551684</v>
      </c>
      <c r="J59" s="11">
        <f t="shared" si="6"/>
        <v>2.0136442182937309</v>
      </c>
      <c r="K59" s="8"/>
      <c r="L59" s="8"/>
      <c r="Q59" s="16"/>
      <c r="R59" s="16"/>
      <c r="S59" s="16"/>
      <c r="T59" s="8"/>
      <c r="U59" s="8"/>
      <c r="V59" s="8"/>
      <c r="W59" s="8"/>
      <c r="X59" s="8"/>
      <c r="Y59" s="8"/>
      <c r="Z59" s="8"/>
      <c r="AA59" s="8"/>
      <c r="AE59" s="8"/>
    </row>
    <row r="60" spans="1:31" x14ac:dyDescent="0.2">
      <c r="A60" s="4" t="s">
        <v>31</v>
      </c>
      <c r="C60" s="25">
        <v>72683</v>
      </c>
      <c r="D60" s="6">
        <v>88144</v>
      </c>
      <c r="E60" s="6">
        <v>111454</v>
      </c>
      <c r="F60" s="6">
        <v>160987</v>
      </c>
      <c r="G60" s="27">
        <f t="shared" si="0"/>
        <v>1.9462849046328889</v>
      </c>
      <c r="H60" s="11">
        <f t="shared" si="4"/>
        <v>4.566450731014382</v>
      </c>
      <c r="I60" s="11">
        <f t="shared" si="5"/>
        <v>8.0427946502673375</v>
      </c>
      <c r="J60" s="11">
        <f t="shared" si="6"/>
        <v>6.203375837170011</v>
      </c>
      <c r="K60" s="8"/>
      <c r="L60" s="8"/>
      <c r="Q60" s="16"/>
      <c r="R60" s="16"/>
      <c r="S60" s="16"/>
      <c r="T60" s="8"/>
      <c r="U60" s="8"/>
      <c r="V60" s="8"/>
      <c r="W60" s="8"/>
      <c r="X60" s="8"/>
      <c r="Y60" s="8"/>
      <c r="Z60" s="8"/>
      <c r="AA60" s="8"/>
      <c r="AE60" s="8"/>
    </row>
    <row r="61" spans="1:31" x14ac:dyDescent="0.2">
      <c r="A61" s="4" t="s">
        <v>32</v>
      </c>
      <c r="C61" s="25">
        <v>31959</v>
      </c>
      <c r="D61" s="6">
        <v>41678</v>
      </c>
      <c r="E61" s="6">
        <v>45846</v>
      </c>
      <c r="F61" s="6">
        <v>49452</v>
      </c>
      <c r="G61" s="27">
        <f t="shared" si="0"/>
        <v>2.6892669770235855</v>
      </c>
      <c r="H61" s="11">
        <f t="shared" si="4"/>
        <v>1.8304089286699687</v>
      </c>
      <c r="I61" s="11">
        <f t="shared" si="5"/>
        <v>1.605595434461482</v>
      </c>
      <c r="J61" s="11">
        <f t="shared" si="6"/>
        <v>1.7235713341609227</v>
      </c>
      <c r="K61" s="8"/>
      <c r="L61" s="8"/>
      <c r="Q61" s="16"/>
      <c r="R61" s="16"/>
      <c r="S61" s="16"/>
      <c r="T61" s="8"/>
      <c r="U61" s="8"/>
      <c r="V61" s="8"/>
      <c r="W61" s="8"/>
      <c r="X61" s="8"/>
      <c r="Y61" s="8"/>
      <c r="Z61" s="8"/>
      <c r="AA61" s="8"/>
      <c r="AE61" s="8"/>
    </row>
    <row r="62" spans="1:31" x14ac:dyDescent="0.2">
      <c r="A62" s="4" t="s">
        <v>130</v>
      </c>
      <c r="C62" s="25">
        <v>73665</v>
      </c>
      <c r="D62" s="6">
        <v>92253</v>
      </c>
      <c r="E62" s="6">
        <v>110706</v>
      </c>
      <c r="F62" s="6">
        <v>110807</v>
      </c>
      <c r="G62" s="27">
        <f t="shared" si="0"/>
        <v>2.2743148854826201</v>
      </c>
      <c r="H62" s="11">
        <f t="shared" si="4"/>
        <v>3.5309437168878022</v>
      </c>
      <c r="I62" s="11">
        <f t="shared" si="5"/>
        <v>1.9186123019743206E-2</v>
      </c>
      <c r="J62" s="11">
        <f t="shared" si="6"/>
        <v>1.8479129384429971</v>
      </c>
      <c r="K62" s="8"/>
      <c r="L62" s="8"/>
      <c r="Q62" s="16"/>
      <c r="R62" s="16"/>
      <c r="S62" s="16"/>
      <c r="T62" s="8"/>
      <c r="U62" s="8"/>
      <c r="V62" s="8"/>
      <c r="W62" s="8"/>
      <c r="X62" s="8"/>
      <c r="Y62" s="8"/>
      <c r="Z62" s="8"/>
      <c r="AA62" s="8"/>
      <c r="AE62" s="8"/>
    </row>
    <row r="63" spans="1:31" x14ac:dyDescent="0.2">
      <c r="A63" s="4" t="s">
        <v>33</v>
      </c>
      <c r="C63" s="25">
        <v>156137</v>
      </c>
      <c r="D63" s="6">
        <v>213490</v>
      </c>
      <c r="E63" s="6">
        <v>248085</v>
      </c>
      <c r="F63" s="6">
        <v>295644</v>
      </c>
      <c r="G63" s="27">
        <f t="shared" si="0"/>
        <v>3.1762477598025862</v>
      </c>
      <c r="H63" s="11">
        <f t="shared" si="4"/>
        <v>2.8992211162591985</v>
      </c>
      <c r="I63" s="11">
        <f t="shared" si="5"/>
        <v>3.758559581804688</v>
      </c>
      <c r="J63" s="11">
        <f t="shared" si="6"/>
        <v>3.306474680067284</v>
      </c>
      <c r="K63" s="8"/>
      <c r="L63" s="8"/>
      <c r="Q63" s="16"/>
      <c r="R63" s="16"/>
      <c r="S63" s="16"/>
      <c r="T63" s="8"/>
      <c r="U63" s="8"/>
      <c r="V63" s="8"/>
      <c r="W63" s="8"/>
      <c r="X63" s="8"/>
      <c r="Y63" s="8"/>
      <c r="Z63" s="8"/>
      <c r="AA63" s="8"/>
      <c r="AE63" s="8"/>
    </row>
    <row r="64" spans="1:31" x14ac:dyDescent="0.2">
      <c r="A64" s="4" t="s">
        <v>144</v>
      </c>
      <c r="C64" s="25">
        <v>45287</v>
      </c>
      <c r="D64" s="6">
        <v>62030</v>
      </c>
      <c r="E64" s="6">
        <v>71181</v>
      </c>
      <c r="F64" s="6">
        <v>85330</v>
      </c>
      <c r="G64" s="27">
        <f t="shared" si="0"/>
        <v>3.1942123417567192</v>
      </c>
      <c r="H64" s="11">
        <f t="shared" si="4"/>
        <v>2.6532987074704861</v>
      </c>
      <c r="I64" s="11">
        <f t="shared" si="5"/>
        <v>3.8877659245209584</v>
      </c>
      <c r="J64" s="11">
        <f t="shared" si="6"/>
        <v>3.2377717339575618</v>
      </c>
      <c r="K64" s="8"/>
      <c r="L64" s="8"/>
      <c r="Q64" s="16"/>
      <c r="R64" s="16"/>
      <c r="S64" s="16"/>
      <c r="T64" s="8"/>
      <c r="U64" s="8"/>
      <c r="V64" s="8"/>
      <c r="W64" s="8"/>
      <c r="X64" s="8"/>
      <c r="Y64" s="8"/>
      <c r="Z64" s="8"/>
      <c r="AA64" s="8"/>
      <c r="AE64" s="8"/>
    </row>
    <row r="65" spans="1:31" x14ac:dyDescent="0.2">
      <c r="A65" s="4" t="s">
        <v>34</v>
      </c>
      <c r="C65" s="25">
        <v>110517</v>
      </c>
      <c r="D65" s="6">
        <v>188755</v>
      </c>
      <c r="E65" s="6">
        <v>226188</v>
      </c>
      <c r="F65" s="6">
        <v>312116</v>
      </c>
      <c r="G65" s="27">
        <f t="shared" si="0"/>
        <v>5.4955660285770369</v>
      </c>
      <c r="H65" s="11">
        <f t="shared" si="4"/>
        <v>3.5028403519147044</v>
      </c>
      <c r="I65" s="11">
        <f t="shared" si="5"/>
        <v>7.008961950331849</v>
      </c>
      <c r="J65" s="11">
        <f t="shared" si="6"/>
        <v>5.1535210125926101</v>
      </c>
      <c r="K65" s="8"/>
      <c r="L65" s="8"/>
      <c r="Q65" s="16"/>
      <c r="R65" s="16"/>
      <c r="S65" s="16"/>
      <c r="T65" s="8"/>
      <c r="U65" s="8"/>
      <c r="V65" s="8"/>
      <c r="W65" s="8"/>
      <c r="X65" s="8"/>
      <c r="Y65" s="8"/>
      <c r="Z65" s="8"/>
      <c r="AA65" s="8"/>
      <c r="AE65" s="8"/>
    </row>
    <row r="66" spans="1:31" x14ac:dyDescent="0.2">
      <c r="A66" s="4" t="s">
        <v>35</v>
      </c>
      <c r="C66" s="25">
        <v>17179</v>
      </c>
      <c r="D66" s="6">
        <v>19297</v>
      </c>
      <c r="E66" s="6">
        <v>23157</v>
      </c>
      <c r="F66" s="6">
        <v>24653</v>
      </c>
      <c r="G66" s="27">
        <f t="shared" si="0"/>
        <v>1.1687598980174352</v>
      </c>
      <c r="H66" s="11">
        <f t="shared" si="4"/>
        <v>3.531027079846627</v>
      </c>
      <c r="I66" s="11">
        <f t="shared" si="5"/>
        <v>1.3256868443207281</v>
      </c>
      <c r="J66" s="11">
        <f t="shared" si="6"/>
        <v>2.4776744984871479</v>
      </c>
      <c r="K66" s="8"/>
      <c r="L66" s="8"/>
      <c r="Q66" s="16"/>
      <c r="R66" s="16"/>
      <c r="S66" s="16"/>
      <c r="T66" s="8"/>
      <c r="U66" s="8"/>
      <c r="V66" s="8"/>
      <c r="W66" s="8"/>
      <c r="X66" s="8"/>
      <c r="Y66" s="8"/>
      <c r="Z66" s="8"/>
      <c r="AA66" s="8"/>
      <c r="AE66" s="8"/>
    </row>
    <row r="67" spans="1:31" x14ac:dyDescent="0.2">
      <c r="A67" s="4" t="s">
        <v>145</v>
      </c>
      <c r="C67" s="25">
        <v>41653</v>
      </c>
      <c r="D67" s="6">
        <v>104559</v>
      </c>
      <c r="E67" s="6">
        <v>155713</v>
      </c>
      <c r="F67" s="6">
        <v>210503</v>
      </c>
      <c r="G67" s="27">
        <f t="shared" si="0"/>
        <v>9.6351015641900517</v>
      </c>
      <c r="H67" s="11">
        <f t="shared" si="4"/>
        <v>7.873646479913976</v>
      </c>
      <c r="I67" s="11">
        <f t="shared" si="5"/>
        <v>6.5479432111945401</v>
      </c>
      <c r="J67" s="11">
        <f t="shared" si="6"/>
        <v>7.2419567433153809</v>
      </c>
      <c r="K67" s="8"/>
      <c r="L67" s="8"/>
      <c r="Q67" s="16"/>
      <c r="R67" s="16"/>
      <c r="S67" s="16"/>
      <c r="T67" s="8"/>
      <c r="U67" s="8"/>
      <c r="V67" s="8"/>
      <c r="W67" s="8"/>
      <c r="X67" s="8"/>
      <c r="Y67" s="8"/>
      <c r="Z67" s="8"/>
      <c r="AA67" s="8"/>
      <c r="AE67" s="8"/>
    </row>
    <row r="68" spans="1:31" x14ac:dyDescent="0.2">
      <c r="A68" s="4" t="s">
        <v>36</v>
      </c>
      <c r="C68" s="25">
        <v>112446</v>
      </c>
      <c r="D68" s="6">
        <v>138540</v>
      </c>
      <c r="E68" s="6">
        <v>155143</v>
      </c>
      <c r="F68" s="6">
        <v>172433</v>
      </c>
      <c r="G68" s="27">
        <f t="shared" si="0"/>
        <v>2.1076200941120282</v>
      </c>
      <c r="H68" s="11">
        <f t="shared" si="4"/>
        <v>2.1773642126519333</v>
      </c>
      <c r="I68" s="11">
        <f t="shared" si="5"/>
        <v>2.2477390202297221</v>
      </c>
      <c r="J68" s="11">
        <f t="shared" si="6"/>
        <v>2.2107828333642665</v>
      </c>
      <c r="K68" s="8"/>
      <c r="L68" s="8"/>
      <c r="Q68" s="16"/>
      <c r="R68" s="16"/>
      <c r="S68" s="16"/>
      <c r="T68" s="8"/>
      <c r="U68" s="8"/>
      <c r="V68" s="8"/>
      <c r="W68" s="8"/>
      <c r="X68" s="8"/>
      <c r="Y68" s="8"/>
      <c r="Z68" s="8"/>
      <c r="AA68" s="8"/>
      <c r="AE68" s="8"/>
    </row>
    <row r="69" spans="1:31" x14ac:dyDescent="0.2">
      <c r="C69" s="25"/>
      <c r="D69" s="6"/>
      <c r="E69" s="6"/>
      <c r="F69" s="6"/>
      <c r="G69" s="27"/>
      <c r="H69" s="11"/>
      <c r="I69" s="11"/>
      <c r="J69" s="11"/>
      <c r="K69" s="8"/>
      <c r="L69" s="8"/>
      <c r="T69" s="8"/>
      <c r="U69" s="8"/>
      <c r="V69" s="8"/>
      <c r="W69" s="8"/>
      <c r="X69" s="8"/>
      <c r="Y69" s="8"/>
      <c r="Z69" s="8"/>
      <c r="AA69" s="8"/>
      <c r="AE69" s="8"/>
    </row>
    <row r="70" spans="1:31" s="8" customFormat="1" x14ac:dyDescent="0.2">
      <c r="A70" s="8" t="s">
        <v>121</v>
      </c>
      <c r="C70" s="9">
        <f>SUM(C71:C100)</f>
        <v>1965872</v>
      </c>
      <c r="D70" s="9">
        <f>SUM(D71:D100)</f>
        <v>2669847</v>
      </c>
      <c r="E70" s="9">
        <f>SUM(E71:E100)</f>
        <v>3035081</v>
      </c>
      <c r="F70" s="9">
        <f>SUM(F71:F100)</f>
        <v>3382193</v>
      </c>
      <c r="G70" s="28">
        <f t="shared" si="0"/>
        <v>3.1064499126135514</v>
      </c>
      <c r="H70" s="10">
        <f t="shared" ref="H70:H100" si="7">(((E70/D70)^(1/(($E$5-$D$5)/365))-1)*100)</f>
        <v>2.4700107993797404</v>
      </c>
      <c r="I70" s="10">
        <f t="shared" ref="I70:I100" si="8">(((F70/E70)^(1/(($F$5-$E$5)/365))-1)*100)</f>
        <v>2.3042132052877751</v>
      </c>
      <c r="J70" s="10">
        <f t="shared" ref="J70:J100" si="9">(((F70/D70)^(1/(($F$5-$D$5)/365))-1)*100)</f>
        <v>2.3912314086817377</v>
      </c>
      <c r="M70" s="4"/>
      <c r="N70" s="6"/>
      <c r="O70" s="6"/>
      <c r="P70" s="6"/>
      <c r="Q70" s="16"/>
      <c r="R70" s="16"/>
      <c r="S70" s="16"/>
      <c r="AB70" s="4"/>
      <c r="AC70" s="4"/>
      <c r="AD70" s="4"/>
    </row>
    <row r="71" spans="1:31" x14ac:dyDescent="0.2">
      <c r="A71" s="4" t="s">
        <v>37</v>
      </c>
      <c r="C71" s="25">
        <v>36120</v>
      </c>
      <c r="D71" s="6">
        <v>43526</v>
      </c>
      <c r="E71" s="6">
        <v>47859</v>
      </c>
      <c r="F71" s="6">
        <v>51619</v>
      </c>
      <c r="G71" s="27">
        <f t="shared" si="0"/>
        <v>1.8815786292843306</v>
      </c>
      <c r="H71" s="11">
        <f t="shared" si="7"/>
        <v>1.8223901020182787</v>
      </c>
      <c r="I71" s="11">
        <f t="shared" si="8"/>
        <v>1.6038017582777453</v>
      </c>
      <c r="J71" s="11">
        <f t="shared" si="9"/>
        <v>1.7185125365457798</v>
      </c>
      <c r="K71" s="8"/>
      <c r="L71" s="8"/>
      <c r="Q71" s="16"/>
      <c r="R71" s="16"/>
      <c r="S71" s="16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2">
      <c r="A72" s="4" t="s">
        <v>38</v>
      </c>
      <c r="C72" s="25">
        <v>43762</v>
      </c>
      <c r="D72" s="6">
        <v>55698</v>
      </c>
      <c r="E72" s="6">
        <v>62143</v>
      </c>
      <c r="F72" s="6">
        <v>67182</v>
      </c>
      <c r="G72" s="27">
        <f t="shared" ref="G72:G135" si="10">(((D72/C72)^(1/(($D$5-$C$5)/365))-1)*100)</f>
        <v>2.4397494847353984</v>
      </c>
      <c r="H72" s="11">
        <f t="shared" si="7"/>
        <v>2.1055564778457381</v>
      </c>
      <c r="I72" s="11">
        <f t="shared" si="8"/>
        <v>1.653757254592314</v>
      </c>
      <c r="J72" s="11">
        <f t="shared" si="9"/>
        <v>1.8907236639226888</v>
      </c>
      <c r="K72" s="8"/>
      <c r="L72" s="8"/>
      <c r="Q72" s="16"/>
      <c r="R72" s="16"/>
      <c r="S72" s="16"/>
      <c r="T72" s="8"/>
      <c r="U72" s="8"/>
      <c r="V72" s="8"/>
      <c r="W72" s="8"/>
      <c r="X72" s="8"/>
      <c r="Y72" s="8"/>
      <c r="Z72" s="8"/>
      <c r="AA72" s="8"/>
      <c r="AE72" s="8"/>
    </row>
    <row r="73" spans="1:31" x14ac:dyDescent="0.2">
      <c r="A73" s="4" t="s">
        <v>124</v>
      </c>
      <c r="C73" s="25">
        <v>201186</v>
      </c>
      <c r="D73" s="6">
        <v>283396</v>
      </c>
      <c r="E73" s="6">
        <v>333028</v>
      </c>
      <c r="F73" s="6">
        <v>407437</v>
      </c>
      <c r="G73" s="27">
        <f t="shared" si="10"/>
        <v>3.4835806210505194</v>
      </c>
      <c r="H73" s="11">
        <f t="shared" si="7"/>
        <v>3.1187715153737638</v>
      </c>
      <c r="I73" s="11">
        <f t="shared" si="8"/>
        <v>4.3336861018406614</v>
      </c>
      <c r="J73" s="11">
        <f t="shared" si="9"/>
        <v>3.6940236228300449</v>
      </c>
      <c r="K73" s="8"/>
      <c r="L73" s="8"/>
      <c r="M73" s="8"/>
      <c r="N73" s="9"/>
      <c r="O73" s="9"/>
      <c r="P73" s="9"/>
      <c r="Q73" s="15"/>
      <c r="R73" s="15"/>
      <c r="S73" s="15"/>
      <c r="T73" s="8"/>
      <c r="U73" s="8"/>
      <c r="V73" s="8"/>
      <c r="W73" s="8"/>
      <c r="X73" s="8"/>
      <c r="Y73" s="8"/>
      <c r="Z73" s="8"/>
      <c r="AA73" s="8"/>
      <c r="AE73" s="8"/>
    </row>
    <row r="74" spans="1:31" x14ac:dyDescent="0.2">
      <c r="A74" s="4" t="s">
        <v>146</v>
      </c>
      <c r="C74" s="25">
        <v>106630</v>
      </c>
      <c r="D74" s="6">
        <v>248436</v>
      </c>
      <c r="E74" s="6">
        <v>308745</v>
      </c>
      <c r="F74" s="6">
        <v>355330</v>
      </c>
      <c r="G74" s="27">
        <f t="shared" si="10"/>
        <v>8.8211710070582363</v>
      </c>
      <c r="H74" s="11">
        <f t="shared" si="7"/>
        <v>4.2225677913213966</v>
      </c>
      <c r="I74" s="11">
        <f t="shared" si="8"/>
        <v>3.0005569329566217</v>
      </c>
      <c r="J74" s="11">
        <f t="shared" si="9"/>
        <v>3.6403739304215366</v>
      </c>
      <c r="K74" s="8"/>
      <c r="L74" s="8"/>
      <c r="Q74" s="16"/>
      <c r="R74" s="16"/>
      <c r="S74" s="16"/>
      <c r="T74" s="8"/>
      <c r="U74" s="8"/>
      <c r="V74" s="8"/>
      <c r="W74" s="8"/>
      <c r="X74" s="8"/>
      <c r="Y74" s="8"/>
      <c r="Z74" s="8"/>
      <c r="AA74" s="8"/>
      <c r="AE74" s="8"/>
    </row>
    <row r="75" spans="1:31" x14ac:dyDescent="0.2">
      <c r="A75" s="4" t="s">
        <v>39</v>
      </c>
      <c r="C75" s="25">
        <v>281146</v>
      </c>
      <c r="D75" s="6">
        <v>389377</v>
      </c>
      <c r="E75" s="6">
        <v>454486</v>
      </c>
      <c r="F75" s="6">
        <v>539671</v>
      </c>
      <c r="G75" s="27">
        <f t="shared" si="10"/>
        <v>3.3085087943666602</v>
      </c>
      <c r="H75" s="11">
        <f t="shared" si="7"/>
        <v>2.9861557003722838</v>
      </c>
      <c r="I75" s="11">
        <f t="shared" si="8"/>
        <v>3.6801821116443589</v>
      </c>
      <c r="J75" s="11">
        <f t="shared" si="9"/>
        <v>3.3152038215620738</v>
      </c>
      <c r="K75" s="8"/>
      <c r="L75" s="8"/>
      <c r="Q75" s="16"/>
      <c r="R75" s="16"/>
      <c r="S75" s="16"/>
      <c r="T75" s="8"/>
      <c r="U75" s="8"/>
      <c r="V75" s="8"/>
      <c r="W75" s="8"/>
      <c r="X75" s="8"/>
      <c r="Y75" s="8"/>
      <c r="Z75" s="8"/>
      <c r="AA75" s="8"/>
      <c r="AE75" s="8"/>
    </row>
    <row r="76" spans="1:31" x14ac:dyDescent="0.2">
      <c r="A76" s="4" t="s">
        <v>40</v>
      </c>
      <c r="C76" s="25">
        <v>43284</v>
      </c>
      <c r="D76" s="6">
        <v>74890</v>
      </c>
      <c r="E76" s="6">
        <v>80453</v>
      </c>
      <c r="F76" s="6">
        <v>87693</v>
      </c>
      <c r="G76" s="27">
        <f t="shared" si="10"/>
        <v>5.6322681179078682</v>
      </c>
      <c r="H76" s="11">
        <f t="shared" si="7"/>
        <v>1.3729088433785508</v>
      </c>
      <c r="I76" s="11">
        <f t="shared" si="8"/>
        <v>1.8293059691159907</v>
      </c>
      <c r="J76" s="11">
        <f t="shared" si="9"/>
        <v>1.5894199966509648</v>
      </c>
      <c r="K76" s="8"/>
      <c r="L76" s="8"/>
      <c r="Q76" s="16"/>
      <c r="R76" s="16"/>
      <c r="S76" s="16"/>
      <c r="T76" s="8"/>
      <c r="U76" s="8"/>
      <c r="V76" s="8"/>
      <c r="W76" s="8"/>
      <c r="X76" s="8"/>
      <c r="Y76" s="8"/>
      <c r="Z76" s="8"/>
      <c r="AA76" s="8"/>
      <c r="AE76" s="8"/>
    </row>
    <row r="77" spans="1:31" x14ac:dyDescent="0.2">
      <c r="A77" s="4" t="s">
        <v>41</v>
      </c>
      <c r="C77" s="25">
        <v>19494</v>
      </c>
      <c r="D77" s="6">
        <v>20809</v>
      </c>
      <c r="E77" s="6">
        <v>21702</v>
      </c>
      <c r="F77" s="6">
        <v>23980</v>
      </c>
      <c r="G77" s="27">
        <f t="shared" si="10"/>
        <v>0.65456406654849086</v>
      </c>
      <c r="H77" s="11">
        <f t="shared" si="7"/>
        <v>0.80283410872739047</v>
      </c>
      <c r="I77" s="11">
        <f t="shared" si="8"/>
        <v>2.1220721696204148</v>
      </c>
      <c r="J77" s="11">
        <f t="shared" si="9"/>
        <v>1.4272704494736832</v>
      </c>
      <c r="K77" s="8"/>
      <c r="L77" s="8"/>
      <c r="Q77" s="16"/>
      <c r="R77" s="16"/>
      <c r="S77" s="16"/>
      <c r="T77" s="8"/>
      <c r="U77" s="8"/>
      <c r="V77" s="8"/>
      <c r="W77" s="8"/>
      <c r="X77" s="8"/>
      <c r="Y77" s="8"/>
      <c r="Z77" s="8"/>
      <c r="AA77" s="8"/>
      <c r="AE77" s="8"/>
    </row>
    <row r="78" spans="1:31" x14ac:dyDescent="0.2">
      <c r="A78" s="4" t="s">
        <v>42</v>
      </c>
      <c r="C78" s="25">
        <v>10419</v>
      </c>
      <c r="D78" s="6">
        <v>15021</v>
      </c>
      <c r="E78" s="6">
        <v>16587</v>
      </c>
      <c r="F78" s="6">
        <v>16791</v>
      </c>
      <c r="G78" s="27">
        <f t="shared" si="10"/>
        <v>3.7238384809399339</v>
      </c>
      <c r="H78" s="11">
        <f t="shared" si="7"/>
        <v>1.9051502655648589</v>
      </c>
      <c r="I78" s="11">
        <f t="shared" si="8"/>
        <v>0.2574881074292934</v>
      </c>
      <c r="J78" s="11">
        <f t="shared" si="9"/>
        <v>1.11924040047231</v>
      </c>
      <c r="K78" s="8"/>
      <c r="L78" s="8"/>
      <c r="Q78" s="16"/>
      <c r="R78" s="16"/>
      <c r="S78" s="16"/>
      <c r="T78" s="8"/>
      <c r="U78" s="8"/>
      <c r="V78" s="8"/>
      <c r="W78" s="8"/>
      <c r="X78" s="8"/>
      <c r="Y78" s="8"/>
      <c r="Z78" s="8"/>
      <c r="AA78" s="8"/>
      <c r="AE78" s="8"/>
    </row>
    <row r="79" spans="1:31" x14ac:dyDescent="0.2">
      <c r="A79" s="4" t="s">
        <v>43</v>
      </c>
      <c r="C79" s="25">
        <v>19580</v>
      </c>
      <c r="D79" s="6">
        <v>20944</v>
      </c>
      <c r="E79" s="6">
        <v>23269</v>
      </c>
      <c r="F79" s="6">
        <v>24755</v>
      </c>
      <c r="G79" s="27">
        <f t="shared" si="10"/>
        <v>0.67533710266642899</v>
      </c>
      <c r="H79" s="11">
        <f t="shared" si="7"/>
        <v>2.0235103294858892</v>
      </c>
      <c r="I79" s="11">
        <f t="shared" si="8"/>
        <v>1.3108517454603952</v>
      </c>
      <c r="J79" s="11">
        <f t="shared" si="9"/>
        <v>1.6844087290611487</v>
      </c>
      <c r="K79" s="8"/>
      <c r="L79" s="8"/>
      <c r="Q79" s="16"/>
      <c r="R79" s="16"/>
      <c r="S79" s="16"/>
      <c r="T79" s="8"/>
      <c r="U79" s="8"/>
      <c r="V79" s="8"/>
      <c r="W79" s="8"/>
      <c r="X79" s="8"/>
      <c r="Y79" s="8"/>
      <c r="Z79" s="8"/>
      <c r="AA79" s="8"/>
      <c r="AE79" s="8"/>
    </row>
    <row r="80" spans="1:31" x14ac:dyDescent="0.2">
      <c r="A80" s="4" t="s">
        <v>44</v>
      </c>
      <c r="C80" s="25">
        <v>27537</v>
      </c>
      <c r="D80" s="6">
        <v>33851</v>
      </c>
      <c r="E80" s="6">
        <v>36582</v>
      </c>
      <c r="F80" s="6">
        <v>39491</v>
      </c>
      <c r="G80" s="27">
        <f t="shared" si="10"/>
        <v>2.0846814478961528</v>
      </c>
      <c r="H80" s="11">
        <f t="shared" si="7"/>
        <v>1.4874682840245734</v>
      </c>
      <c r="I80" s="11">
        <f t="shared" si="8"/>
        <v>1.62273840065148</v>
      </c>
      <c r="J80" s="11">
        <f t="shared" si="9"/>
        <v>1.5516926437028955</v>
      </c>
      <c r="K80" s="8"/>
      <c r="L80" s="8"/>
      <c r="Q80" s="16"/>
      <c r="R80" s="16"/>
      <c r="S80" s="16"/>
      <c r="T80" s="8"/>
      <c r="U80" s="8"/>
      <c r="V80" s="8"/>
      <c r="W80" s="8"/>
      <c r="X80" s="8"/>
      <c r="Y80" s="8"/>
      <c r="Z80" s="8"/>
      <c r="AA80" s="8"/>
      <c r="AE80" s="8"/>
    </row>
    <row r="81" spans="1:31" x14ac:dyDescent="0.2">
      <c r="A81" s="4" t="s">
        <v>45</v>
      </c>
      <c r="C81" s="25">
        <v>82027</v>
      </c>
      <c r="D81" s="6">
        <v>101884</v>
      </c>
      <c r="E81" s="6">
        <v>112008</v>
      </c>
      <c r="F81" s="6">
        <v>115353</v>
      </c>
      <c r="G81" s="27">
        <f t="shared" si="10"/>
        <v>2.1903201766332536</v>
      </c>
      <c r="H81" s="11">
        <f t="shared" si="7"/>
        <v>1.8191863286058263</v>
      </c>
      <c r="I81" s="11">
        <f t="shared" si="8"/>
        <v>0.62098318661023555</v>
      </c>
      <c r="J81" s="11">
        <f t="shared" si="9"/>
        <v>1.2483285146489553</v>
      </c>
      <c r="K81" s="8"/>
      <c r="L81" s="8"/>
      <c r="Q81" s="16"/>
      <c r="R81" s="16"/>
      <c r="S81" s="16"/>
      <c r="T81" s="8"/>
      <c r="U81" s="8"/>
      <c r="V81" s="8"/>
      <c r="W81" s="8"/>
      <c r="X81" s="8"/>
      <c r="Y81" s="8"/>
      <c r="Z81" s="8"/>
      <c r="AA81" s="8"/>
      <c r="AE81" s="8"/>
    </row>
    <row r="82" spans="1:31" x14ac:dyDescent="0.2">
      <c r="A82" s="4" t="s">
        <v>46</v>
      </c>
      <c r="C82" s="25">
        <v>17109</v>
      </c>
      <c r="D82" s="6">
        <v>20148</v>
      </c>
      <c r="E82" s="6">
        <v>19720</v>
      </c>
      <c r="F82" s="6">
        <v>20859</v>
      </c>
      <c r="G82" s="27">
        <f t="shared" si="10"/>
        <v>1.6475330453058712</v>
      </c>
      <c r="H82" s="11">
        <f t="shared" si="7"/>
        <v>-0.40777751579530452</v>
      </c>
      <c r="I82" s="11">
        <f t="shared" si="8"/>
        <v>1.1883039491077829</v>
      </c>
      <c r="J82" s="11">
        <f t="shared" si="9"/>
        <v>0.3471210827110216</v>
      </c>
      <c r="K82" s="8"/>
      <c r="L82" s="8"/>
      <c r="Q82" s="16"/>
      <c r="R82" s="16"/>
      <c r="S82" s="16"/>
      <c r="T82" s="8"/>
      <c r="U82" s="8"/>
      <c r="V82" s="8"/>
      <c r="W82" s="8"/>
      <c r="X82" s="8"/>
      <c r="Y82" s="8"/>
      <c r="Z82" s="8"/>
      <c r="AA82" s="8"/>
      <c r="AE82" s="8"/>
    </row>
    <row r="83" spans="1:31" x14ac:dyDescent="0.2">
      <c r="A83" s="4" t="s">
        <v>47</v>
      </c>
      <c r="C83" s="25">
        <v>25936</v>
      </c>
      <c r="D83" s="6">
        <v>29470</v>
      </c>
      <c r="E83" s="6">
        <v>30652</v>
      </c>
      <c r="F83" s="6">
        <v>32330</v>
      </c>
      <c r="G83" s="27">
        <f t="shared" si="10"/>
        <v>1.284893471892179</v>
      </c>
      <c r="H83" s="11">
        <f t="shared" si="7"/>
        <v>0.75117365557535454</v>
      </c>
      <c r="I83" s="11">
        <f t="shared" si="8"/>
        <v>1.1275575393710158</v>
      </c>
      <c r="J83" s="11">
        <f t="shared" si="9"/>
        <v>0.929762981879656</v>
      </c>
      <c r="K83" s="8"/>
      <c r="L83" s="8"/>
      <c r="Q83" s="16"/>
      <c r="R83" s="16"/>
      <c r="S83" s="16"/>
      <c r="T83" s="8"/>
      <c r="U83" s="8"/>
      <c r="V83" s="8"/>
      <c r="W83" s="8"/>
      <c r="X83" s="8"/>
      <c r="Y83" s="8"/>
      <c r="Z83" s="8"/>
      <c r="AA83" s="8"/>
      <c r="AE83" s="8"/>
    </row>
    <row r="84" spans="1:31" x14ac:dyDescent="0.2">
      <c r="A84" s="4" t="s">
        <v>48</v>
      </c>
      <c r="C84" s="25">
        <v>15097</v>
      </c>
      <c r="D84" s="6">
        <v>18618</v>
      </c>
      <c r="E84" s="6">
        <v>20530</v>
      </c>
      <c r="F84" s="6">
        <v>21275</v>
      </c>
      <c r="G84" s="27">
        <f t="shared" si="10"/>
        <v>2.1172830096962469</v>
      </c>
      <c r="H84" s="11">
        <f t="shared" si="7"/>
        <v>1.8777779552797025</v>
      </c>
      <c r="I84" s="11">
        <f t="shared" si="8"/>
        <v>0.75270844646744273</v>
      </c>
      <c r="J84" s="11">
        <f t="shared" si="9"/>
        <v>1.3418659119584841</v>
      </c>
      <c r="K84" s="8"/>
      <c r="L84" s="8"/>
      <c r="Q84" s="16"/>
      <c r="R84" s="16"/>
      <c r="S84" s="16"/>
      <c r="T84" s="8"/>
      <c r="U84" s="8"/>
      <c r="V84" s="8"/>
      <c r="W84" s="8"/>
      <c r="X84" s="8"/>
      <c r="Y84" s="8"/>
      <c r="Z84" s="8"/>
      <c r="AA84" s="8"/>
      <c r="AE84" s="8"/>
    </row>
    <row r="85" spans="1:31" x14ac:dyDescent="0.2">
      <c r="A85" s="4" t="s">
        <v>63</v>
      </c>
      <c r="C85" s="25">
        <v>18976</v>
      </c>
      <c r="D85" s="6">
        <v>22976</v>
      </c>
      <c r="E85" s="6">
        <v>25266</v>
      </c>
      <c r="F85" s="6">
        <v>27816</v>
      </c>
      <c r="G85" s="27">
        <f t="shared" si="10"/>
        <v>1.9300942568918344</v>
      </c>
      <c r="H85" s="11">
        <f t="shared" si="7"/>
        <v>1.8244963746295806</v>
      </c>
      <c r="I85" s="11">
        <f t="shared" si="8"/>
        <v>2.0433865613801228</v>
      </c>
      <c r="J85" s="11">
        <f t="shared" si="9"/>
        <v>1.9284001208465629</v>
      </c>
      <c r="K85" s="8"/>
      <c r="L85" s="8"/>
      <c r="Q85" s="16"/>
      <c r="R85" s="16"/>
      <c r="S85" s="16"/>
      <c r="T85" s="8"/>
      <c r="U85" s="8"/>
      <c r="V85" s="8"/>
      <c r="W85" s="8"/>
      <c r="X85" s="8"/>
      <c r="Y85" s="8"/>
      <c r="Z85" s="8"/>
      <c r="AA85" s="8"/>
      <c r="AE85" s="8"/>
    </row>
    <row r="86" spans="1:31" x14ac:dyDescent="0.2">
      <c r="A86" s="4" t="s">
        <v>64</v>
      </c>
      <c r="C86" s="25">
        <v>22159</v>
      </c>
      <c r="D86" s="6">
        <v>26547</v>
      </c>
      <c r="E86" s="6">
        <v>27792</v>
      </c>
      <c r="F86" s="6">
        <v>27893</v>
      </c>
      <c r="G86" s="27">
        <f t="shared" si="10"/>
        <v>1.8221427520584754</v>
      </c>
      <c r="H86" s="11">
        <f t="shared" si="7"/>
        <v>0.87599832844131864</v>
      </c>
      <c r="I86" s="11">
        <f t="shared" si="8"/>
        <v>7.6343617054974722E-2</v>
      </c>
      <c r="J86" s="11">
        <f t="shared" si="9"/>
        <v>0.49540706768649301</v>
      </c>
      <c r="K86" s="8"/>
      <c r="L86" s="8"/>
      <c r="Q86" s="16"/>
      <c r="R86" s="16"/>
      <c r="S86" s="16"/>
      <c r="T86" s="8"/>
      <c r="U86" s="8"/>
      <c r="V86" s="8"/>
      <c r="W86" s="8"/>
      <c r="X86" s="8"/>
      <c r="Y86" s="8"/>
      <c r="Z86" s="8"/>
      <c r="AA86" s="8"/>
      <c r="AE86" s="8"/>
    </row>
    <row r="87" spans="1:31" x14ac:dyDescent="0.2">
      <c r="A87" s="4" t="s">
        <v>65</v>
      </c>
      <c r="C87" s="25">
        <v>48727</v>
      </c>
      <c r="D87" s="6">
        <v>59726</v>
      </c>
      <c r="E87" s="6">
        <v>63057</v>
      </c>
      <c r="F87" s="6">
        <v>64866</v>
      </c>
      <c r="G87" s="27">
        <f t="shared" si="10"/>
        <v>2.0550582139785778</v>
      </c>
      <c r="H87" s="11">
        <f t="shared" si="7"/>
        <v>1.0381541904352476</v>
      </c>
      <c r="I87" s="11">
        <f t="shared" si="8"/>
        <v>0.59680850874308522</v>
      </c>
      <c r="J87" s="11">
        <f t="shared" si="9"/>
        <v>0.82829522342715567</v>
      </c>
      <c r="K87" s="8"/>
      <c r="L87" s="8"/>
      <c r="Q87" s="16"/>
      <c r="R87" s="16"/>
      <c r="S87" s="16"/>
      <c r="T87" s="8"/>
      <c r="U87" s="8"/>
      <c r="V87" s="8"/>
      <c r="W87" s="8"/>
      <c r="X87" s="8"/>
      <c r="Y87" s="8"/>
      <c r="Z87" s="8"/>
      <c r="AA87" s="8"/>
      <c r="AE87" s="8"/>
    </row>
    <row r="88" spans="1:31" x14ac:dyDescent="0.2">
      <c r="A88" s="4" t="s">
        <v>66</v>
      </c>
      <c r="C88" s="25">
        <v>23011</v>
      </c>
      <c r="D88" s="6">
        <v>23523</v>
      </c>
      <c r="E88" s="6">
        <v>25096</v>
      </c>
      <c r="F88" s="6">
        <v>24945</v>
      </c>
      <c r="G88" s="27">
        <f t="shared" si="10"/>
        <v>0.22018456901768957</v>
      </c>
      <c r="H88" s="11">
        <f t="shared" si="7"/>
        <v>1.2394419100425713</v>
      </c>
      <c r="I88" s="11">
        <f t="shared" si="8"/>
        <v>-0.12688199543237078</v>
      </c>
      <c r="J88" s="11">
        <f t="shared" si="9"/>
        <v>0.58818840233207936</v>
      </c>
      <c r="K88" s="8"/>
      <c r="L88" s="8"/>
      <c r="Q88" s="16"/>
      <c r="R88" s="16"/>
      <c r="S88" s="16"/>
      <c r="T88" s="8"/>
      <c r="U88" s="8"/>
      <c r="V88" s="8"/>
      <c r="W88" s="8"/>
      <c r="X88" s="8"/>
      <c r="Y88" s="8"/>
      <c r="Z88" s="8"/>
      <c r="AA88" s="8"/>
      <c r="AE88" s="8"/>
    </row>
    <row r="89" spans="1:31" x14ac:dyDescent="0.2">
      <c r="A89" s="4" t="s">
        <v>67</v>
      </c>
      <c r="C89" s="25">
        <v>32622</v>
      </c>
      <c r="D89" s="6">
        <v>39313</v>
      </c>
      <c r="E89" s="6">
        <v>42164</v>
      </c>
      <c r="F89" s="6">
        <v>44327</v>
      </c>
      <c r="G89" s="27">
        <f t="shared" si="10"/>
        <v>1.8821551017637939</v>
      </c>
      <c r="H89" s="11">
        <f t="shared" si="7"/>
        <v>1.341251228030016</v>
      </c>
      <c r="I89" s="11">
        <f t="shared" si="8"/>
        <v>1.0580030157303577</v>
      </c>
      <c r="J89" s="11">
        <f t="shared" si="9"/>
        <v>1.206623044636701</v>
      </c>
      <c r="K89" s="8"/>
      <c r="L89" s="8"/>
      <c r="Q89" s="16"/>
      <c r="R89" s="16"/>
      <c r="S89" s="16"/>
      <c r="T89" s="8"/>
      <c r="U89" s="8"/>
      <c r="V89" s="8"/>
      <c r="W89" s="8"/>
      <c r="X89" s="8"/>
      <c r="Y89" s="8"/>
      <c r="Z89" s="8"/>
      <c r="AA89" s="8"/>
      <c r="AE89" s="8"/>
    </row>
    <row r="90" spans="1:31" x14ac:dyDescent="0.2">
      <c r="A90" s="4" t="s">
        <v>68</v>
      </c>
      <c r="C90" s="25">
        <v>18021</v>
      </c>
      <c r="D90" s="6">
        <v>20822</v>
      </c>
      <c r="E90" s="6">
        <v>20659</v>
      </c>
      <c r="F90" s="6">
        <v>23495</v>
      </c>
      <c r="G90" s="27">
        <f t="shared" si="10"/>
        <v>1.4544076223103053</v>
      </c>
      <c r="H90" s="11">
        <f t="shared" si="7"/>
        <v>-0.1494480163534373</v>
      </c>
      <c r="I90" s="11">
        <f t="shared" si="8"/>
        <v>2.7431370701043623</v>
      </c>
      <c r="J90" s="11">
        <f t="shared" si="9"/>
        <v>1.2140942571662761</v>
      </c>
      <c r="K90" s="8"/>
      <c r="L90" s="8"/>
      <c r="Q90" s="16"/>
      <c r="R90" s="16"/>
      <c r="S90" s="16"/>
      <c r="T90" s="8"/>
      <c r="U90" s="8"/>
      <c r="V90" s="8"/>
      <c r="W90" s="8"/>
      <c r="X90" s="8"/>
      <c r="Y90" s="8"/>
      <c r="Z90" s="8"/>
      <c r="AA90" s="8"/>
      <c r="AE90" s="8"/>
    </row>
    <row r="91" spans="1:31" x14ac:dyDescent="0.2">
      <c r="A91" s="4" t="s">
        <v>69</v>
      </c>
      <c r="C91" s="25">
        <v>20698</v>
      </c>
      <c r="D91" s="6">
        <v>23201</v>
      </c>
      <c r="E91" s="6">
        <v>24274</v>
      </c>
      <c r="F91" s="6">
        <v>25026</v>
      </c>
      <c r="G91" s="27">
        <f t="shared" si="10"/>
        <v>1.1474916066923635</v>
      </c>
      <c r="H91" s="11">
        <f t="shared" si="7"/>
        <v>0.86407724946611086</v>
      </c>
      <c r="I91" s="11">
        <f t="shared" si="8"/>
        <v>0.64390600522663544</v>
      </c>
      <c r="J91" s="11">
        <f t="shared" si="9"/>
        <v>0.75944646499030988</v>
      </c>
      <c r="K91" s="8"/>
      <c r="L91" s="8"/>
      <c r="Q91" s="16"/>
      <c r="R91" s="16"/>
      <c r="S91" s="16"/>
      <c r="T91" s="8"/>
      <c r="U91" s="8"/>
      <c r="V91" s="8"/>
      <c r="W91" s="8"/>
      <c r="X91" s="8"/>
      <c r="Y91" s="8"/>
      <c r="Z91" s="8"/>
      <c r="AA91" s="8"/>
      <c r="AE91" s="8"/>
    </row>
    <row r="92" spans="1:31" x14ac:dyDescent="0.2">
      <c r="A92" s="4" t="s">
        <v>70</v>
      </c>
      <c r="C92" s="25">
        <v>37427</v>
      </c>
      <c r="D92" s="6">
        <v>46534</v>
      </c>
      <c r="E92" s="6">
        <v>50289</v>
      </c>
      <c r="F92" s="6">
        <v>54613</v>
      </c>
      <c r="G92" s="27">
        <f t="shared" si="10"/>
        <v>2.2005791608234126</v>
      </c>
      <c r="H92" s="11">
        <f t="shared" si="7"/>
        <v>1.4877649750769883</v>
      </c>
      <c r="I92" s="11">
        <f t="shared" si="8"/>
        <v>1.7504310907655585</v>
      </c>
      <c r="J92" s="11">
        <f t="shared" si="9"/>
        <v>1.6124341437974365</v>
      </c>
      <c r="K92" s="8"/>
      <c r="L92" s="8"/>
      <c r="Q92" s="16"/>
      <c r="R92" s="16"/>
      <c r="S92" s="16"/>
      <c r="T92" s="8"/>
      <c r="U92" s="8"/>
      <c r="V92" s="8"/>
      <c r="W92" s="8"/>
      <c r="X92" s="8"/>
      <c r="Y92" s="8"/>
      <c r="Z92" s="8"/>
      <c r="AA92" s="8"/>
      <c r="AE92" s="8"/>
    </row>
    <row r="93" spans="1:31" x14ac:dyDescent="0.2">
      <c r="A93" s="4" t="s">
        <v>123</v>
      </c>
      <c r="C93" s="25">
        <v>13006</v>
      </c>
      <c r="D93" s="6">
        <v>15518</v>
      </c>
      <c r="E93" s="6">
        <v>17253</v>
      </c>
      <c r="F93" s="6">
        <v>18332</v>
      </c>
      <c r="G93" s="27">
        <f t="shared" si="10"/>
        <v>1.7805983737848363</v>
      </c>
      <c r="H93" s="11">
        <f t="shared" si="7"/>
        <v>2.0374050230642426</v>
      </c>
      <c r="I93" s="11">
        <f t="shared" si="8"/>
        <v>1.2843551679441845</v>
      </c>
      <c r="J93" s="11">
        <f t="shared" si="9"/>
        <v>1.679046847613308</v>
      </c>
      <c r="K93" s="8"/>
      <c r="L93" s="8"/>
      <c r="Q93" s="16"/>
      <c r="R93" s="16"/>
      <c r="S93" s="16"/>
      <c r="T93" s="8"/>
      <c r="U93" s="8"/>
      <c r="V93" s="8"/>
      <c r="W93" s="8"/>
      <c r="X93" s="8"/>
      <c r="Y93" s="8"/>
      <c r="Z93" s="8"/>
      <c r="AA93" s="8"/>
      <c r="AE93" s="8"/>
    </row>
    <row r="94" spans="1:31" x14ac:dyDescent="0.2">
      <c r="A94" s="4" t="s">
        <v>147</v>
      </c>
      <c r="C94" s="25">
        <v>207927</v>
      </c>
      <c r="D94" s="6">
        <v>248890</v>
      </c>
      <c r="E94" s="6">
        <v>266068</v>
      </c>
      <c r="F94" s="6">
        <v>285348</v>
      </c>
      <c r="G94" s="27">
        <f t="shared" si="10"/>
        <v>1.8135027741889242</v>
      </c>
      <c r="H94" s="11">
        <f t="shared" si="7"/>
        <v>1.2781949810312554</v>
      </c>
      <c r="I94" s="11">
        <f t="shared" si="8"/>
        <v>1.4826131879482451</v>
      </c>
      <c r="J94" s="11">
        <f t="shared" si="9"/>
        <v>1.3752324443563779</v>
      </c>
      <c r="K94" s="8"/>
      <c r="L94" s="8"/>
      <c r="Q94" s="16"/>
      <c r="R94" s="16"/>
      <c r="S94" s="16"/>
      <c r="T94" s="8"/>
      <c r="U94" s="8"/>
      <c r="V94" s="8"/>
      <c r="W94" s="8"/>
      <c r="X94" s="8"/>
      <c r="Y94" s="8"/>
      <c r="Z94" s="8"/>
      <c r="AA94" s="8"/>
      <c r="AE94" s="8"/>
    </row>
    <row r="95" spans="1:31" x14ac:dyDescent="0.2">
      <c r="A95" s="4" t="s">
        <v>138</v>
      </c>
      <c r="C95" s="25">
        <v>231403</v>
      </c>
      <c r="D95" s="6">
        <v>294310</v>
      </c>
      <c r="E95" s="6">
        <v>325809</v>
      </c>
      <c r="F95" s="6">
        <v>326001</v>
      </c>
      <c r="G95" s="27">
        <f t="shared" si="10"/>
        <v>2.4325263233539562</v>
      </c>
      <c r="H95" s="11">
        <f t="shared" si="7"/>
        <v>1.9537922603812818</v>
      </c>
      <c r="I95" s="11">
        <f t="shared" si="8"/>
        <v>1.2394542934268671E-2</v>
      </c>
      <c r="J95" s="11">
        <f t="shared" si="9"/>
        <v>1.0270667865484251</v>
      </c>
      <c r="K95" s="8"/>
      <c r="L95" s="8"/>
      <c r="Q95" s="16"/>
      <c r="R95" s="16"/>
      <c r="S95" s="16"/>
      <c r="T95" s="8"/>
      <c r="U95" s="8"/>
      <c r="V95" s="8"/>
      <c r="W95" s="8"/>
      <c r="X95" s="8"/>
      <c r="Y95" s="8"/>
      <c r="Z95" s="8"/>
      <c r="AA95" s="8"/>
      <c r="AE95" s="8"/>
    </row>
    <row r="96" spans="1:31" x14ac:dyDescent="0.2">
      <c r="A96" s="4" t="s">
        <v>71</v>
      </c>
      <c r="C96" s="25">
        <v>92694</v>
      </c>
      <c r="D96" s="6">
        <v>110943</v>
      </c>
      <c r="E96" s="6">
        <v>117605</v>
      </c>
      <c r="F96" s="6">
        <v>123574</v>
      </c>
      <c r="G96" s="27">
        <f t="shared" si="10"/>
        <v>1.8123715917252037</v>
      </c>
      <c r="H96" s="11">
        <f t="shared" si="7"/>
        <v>1.1159289020410856</v>
      </c>
      <c r="I96" s="11">
        <f t="shared" si="8"/>
        <v>1.0469785750238492</v>
      </c>
      <c r="J96" s="11">
        <f t="shared" si="9"/>
        <v>1.0831749354464737</v>
      </c>
      <c r="K96" s="8"/>
      <c r="L96" s="8"/>
      <c r="Q96" s="16"/>
      <c r="R96" s="16"/>
      <c r="S96" s="16"/>
      <c r="T96" s="8"/>
      <c r="U96" s="8"/>
      <c r="V96" s="8"/>
      <c r="W96" s="8"/>
      <c r="X96" s="8"/>
      <c r="Y96" s="8"/>
      <c r="Z96" s="8"/>
      <c r="AA96" s="8"/>
      <c r="AE96" s="8"/>
    </row>
    <row r="97" spans="1:31" x14ac:dyDescent="0.2">
      <c r="A97" s="4" t="s">
        <v>54</v>
      </c>
      <c r="C97" s="25">
        <v>24574</v>
      </c>
      <c r="D97" s="6">
        <v>26839</v>
      </c>
      <c r="E97" s="6">
        <v>30830</v>
      </c>
      <c r="F97" s="6">
        <v>34511</v>
      </c>
      <c r="G97" s="27">
        <f t="shared" si="10"/>
        <v>0.88508184886761931</v>
      </c>
      <c r="H97" s="11">
        <f t="shared" si="7"/>
        <v>2.6733124544838338</v>
      </c>
      <c r="I97" s="11">
        <f t="shared" si="8"/>
        <v>2.4011880571511046</v>
      </c>
      <c r="J97" s="11">
        <f t="shared" si="9"/>
        <v>2.5439763524832903</v>
      </c>
      <c r="K97" s="8"/>
      <c r="L97" s="8"/>
      <c r="Q97" s="16"/>
      <c r="R97" s="16"/>
      <c r="S97" s="16"/>
      <c r="T97" s="8"/>
      <c r="U97" s="8"/>
      <c r="V97" s="8"/>
      <c r="W97" s="8"/>
      <c r="X97" s="8"/>
      <c r="Y97" s="8"/>
      <c r="Z97" s="8"/>
      <c r="AA97" s="8"/>
      <c r="AE97" s="8"/>
    </row>
    <row r="98" spans="1:31" x14ac:dyDescent="0.2">
      <c r="A98" s="4" t="s">
        <v>72</v>
      </c>
      <c r="C98" s="25">
        <v>185633</v>
      </c>
      <c r="D98" s="6">
        <v>284670</v>
      </c>
      <c r="E98" s="6">
        <v>353767</v>
      </c>
      <c r="F98" s="6">
        <v>414812</v>
      </c>
      <c r="G98" s="27">
        <f t="shared" si="10"/>
        <v>4.3658663967155897</v>
      </c>
      <c r="H98" s="11">
        <f t="shared" si="7"/>
        <v>4.2221208038071723</v>
      </c>
      <c r="I98" s="11">
        <f t="shared" si="8"/>
        <v>3.4055952194822048</v>
      </c>
      <c r="J98" s="11">
        <f t="shared" si="9"/>
        <v>3.8335094507350398</v>
      </c>
      <c r="K98" s="8"/>
      <c r="L98" s="8"/>
      <c r="Q98" s="16"/>
      <c r="R98" s="16"/>
      <c r="S98" s="16"/>
      <c r="T98" s="8"/>
      <c r="U98" s="8"/>
      <c r="V98" s="8"/>
      <c r="W98" s="8"/>
      <c r="X98" s="8"/>
      <c r="Y98" s="8"/>
      <c r="Z98" s="8"/>
      <c r="AA98" s="8"/>
      <c r="AE98" s="8"/>
    </row>
    <row r="99" spans="1:31" x14ac:dyDescent="0.2">
      <c r="A99" s="4" t="s">
        <v>73</v>
      </c>
      <c r="C99" s="25">
        <v>29902</v>
      </c>
      <c r="D99" s="6">
        <v>35363</v>
      </c>
      <c r="E99" s="6">
        <v>38067</v>
      </c>
      <c r="F99" s="6">
        <v>39460</v>
      </c>
      <c r="G99" s="27">
        <f t="shared" si="10"/>
        <v>1.6906203869271108</v>
      </c>
      <c r="H99" s="11">
        <f t="shared" si="7"/>
        <v>1.4120568740446204</v>
      </c>
      <c r="I99" s="11">
        <f t="shared" si="8"/>
        <v>0.75894640003824065</v>
      </c>
      <c r="J99" s="11">
        <f t="shared" si="9"/>
        <v>1.1013345146959841</v>
      </c>
      <c r="K99" s="8"/>
      <c r="L99" s="8"/>
      <c r="Q99" s="16"/>
      <c r="R99" s="16"/>
      <c r="S99" s="16"/>
      <c r="T99" s="8"/>
      <c r="U99" s="8"/>
      <c r="V99" s="8"/>
      <c r="W99" s="8"/>
      <c r="X99" s="8"/>
      <c r="Y99" s="8"/>
      <c r="Z99" s="8"/>
      <c r="AA99" s="8"/>
      <c r="AE99" s="8"/>
    </row>
    <row r="100" spans="1:31" x14ac:dyDescent="0.2">
      <c r="A100" s="4" t="s">
        <v>125</v>
      </c>
      <c r="C100" s="25">
        <v>29765</v>
      </c>
      <c r="D100" s="6">
        <v>34604</v>
      </c>
      <c r="E100" s="6">
        <v>39321</v>
      </c>
      <c r="F100" s="6">
        <v>43408</v>
      </c>
      <c r="G100" s="27">
        <f t="shared" si="10"/>
        <v>1.5169260861111811</v>
      </c>
      <c r="H100" s="11">
        <f t="shared" si="7"/>
        <v>2.4616747571825082</v>
      </c>
      <c r="I100" s="11">
        <f t="shared" si="8"/>
        <v>2.102079092669018</v>
      </c>
      <c r="J100" s="11">
        <f t="shared" si="9"/>
        <v>2.2907264048631193</v>
      </c>
      <c r="K100" s="8"/>
      <c r="L100" s="8"/>
      <c r="Q100" s="16"/>
      <c r="R100" s="16"/>
      <c r="S100" s="16"/>
      <c r="T100" s="8"/>
      <c r="U100" s="8"/>
      <c r="V100" s="8"/>
      <c r="W100" s="8"/>
      <c r="X100" s="8"/>
      <c r="Y100" s="8"/>
      <c r="Z100" s="8"/>
      <c r="AA100" s="8"/>
      <c r="AE100" s="8"/>
    </row>
    <row r="101" spans="1:31" x14ac:dyDescent="0.2">
      <c r="C101" s="25"/>
      <c r="D101" s="6"/>
      <c r="E101" s="6"/>
      <c r="F101" s="6"/>
      <c r="G101" s="27"/>
      <c r="H101" s="11"/>
      <c r="I101" s="11"/>
      <c r="J101" s="11"/>
      <c r="K101" s="8"/>
      <c r="L101" s="8"/>
      <c r="T101" s="8"/>
      <c r="U101" s="8"/>
      <c r="V101" s="8"/>
      <c r="W101" s="8"/>
      <c r="X101" s="8"/>
      <c r="Y101" s="8"/>
      <c r="Z101" s="8"/>
      <c r="AA101" s="8"/>
      <c r="AE101" s="8"/>
    </row>
    <row r="102" spans="1:31" s="8" customFormat="1" ht="14.25" x14ac:dyDescent="0.2">
      <c r="A102" s="8" t="s">
        <v>157</v>
      </c>
      <c r="C102" s="9">
        <f>SUM(C103:C142)</f>
        <v>1482955</v>
      </c>
      <c r="D102" s="9">
        <f>SUM(D103:D142)</f>
        <v>1740638</v>
      </c>
      <c r="E102" s="9">
        <f>SUM(E103:E142)</f>
        <v>1856582</v>
      </c>
      <c r="F102" s="9">
        <f>SUM(F103:F142)</f>
        <v>1950459</v>
      </c>
      <c r="G102" s="28">
        <f t="shared" si="10"/>
        <v>1.6141616023502836</v>
      </c>
      <c r="H102" s="10">
        <f t="shared" ref="H102:H142" si="11">(((E102/D102)^(1/(($E$5-$D$5)/365))-1)*100)</f>
        <v>1.2347342521572768</v>
      </c>
      <c r="I102" s="10">
        <f t="shared" ref="I102:I142" si="12">(((F102/E102)^(1/(($F$5-$E$5)/365))-1)*100)</f>
        <v>1.0431299666318505</v>
      </c>
      <c r="J102" s="10">
        <f t="shared" ref="J102:J142" si="13">(((F102/D102)^(1/(($F$5-$D$5)/365))-1)*100)</f>
        <v>1.1436861351583172</v>
      </c>
      <c r="M102" s="4"/>
      <c r="N102" s="6"/>
      <c r="O102" s="6"/>
      <c r="P102" s="6"/>
      <c r="Q102" s="16"/>
      <c r="R102" s="16"/>
      <c r="S102" s="16"/>
      <c r="AB102" s="4"/>
      <c r="AC102" s="4"/>
      <c r="AD102" s="4"/>
    </row>
    <row r="103" spans="1:31" x14ac:dyDescent="0.2">
      <c r="A103" s="4" t="s">
        <v>74</v>
      </c>
      <c r="C103" s="25">
        <v>9946</v>
      </c>
      <c r="D103" s="6">
        <v>11567</v>
      </c>
      <c r="E103" s="6">
        <v>12851</v>
      </c>
      <c r="F103" s="6">
        <v>12764</v>
      </c>
      <c r="G103" s="27">
        <f t="shared" si="10"/>
        <v>1.5204740510506465</v>
      </c>
      <c r="H103" s="11">
        <f t="shared" si="11"/>
        <v>2.0234252821637044</v>
      </c>
      <c r="I103" s="11">
        <f t="shared" si="12"/>
        <v>-0.14280376716496734</v>
      </c>
      <c r="J103" s="11">
        <f t="shared" si="13"/>
        <v>0.98877259289895658</v>
      </c>
      <c r="K103" s="8"/>
      <c r="L103" s="8"/>
      <c r="Q103" s="16"/>
      <c r="R103" s="16"/>
      <c r="S103" s="16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2">
      <c r="A104" s="4" t="s">
        <v>75</v>
      </c>
      <c r="C104" s="25">
        <v>14204</v>
      </c>
      <c r="D104" s="6">
        <v>16120</v>
      </c>
      <c r="E104" s="6">
        <v>15630</v>
      </c>
      <c r="F104" s="6">
        <v>15936</v>
      </c>
      <c r="G104" s="27">
        <f t="shared" si="10"/>
        <v>1.2727091201176544</v>
      </c>
      <c r="H104" s="11">
        <f t="shared" si="11"/>
        <v>-0.5857146854474693</v>
      </c>
      <c r="I104" s="11">
        <f t="shared" si="12"/>
        <v>0.40871904435517692</v>
      </c>
      <c r="J104" s="11">
        <f t="shared" si="13"/>
        <v>-0.11464032110876099</v>
      </c>
      <c r="K104" s="8"/>
      <c r="L104" s="8"/>
      <c r="Q104" s="16"/>
      <c r="R104" s="16"/>
      <c r="S104" s="16"/>
      <c r="T104" s="8"/>
      <c r="U104" s="8"/>
      <c r="V104" s="8"/>
      <c r="W104" s="8"/>
      <c r="X104" s="8"/>
      <c r="Y104" s="8"/>
      <c r="Z104" s="8"/>
      <c r="AA104" s="8"/>
      <c r="AE104" s="8"/>
    </row>
    <row r="105" spans="1:31" x14ac:dyDescent="0.2">
      <c r="A105" s="4" t="s">
        <v>76</v>
      </c>
      <c r="C105" s="25">
        <v>56716</v>
      </c>
      <c r="D105" s="6">
        <v>61587</v>
      </c>
      <c r="E105" s="6">
        <v>63432</v>
      </c>
      <c r="F105" s="6">
        <v>64260</v>
      </c>
      <c r="G105" s="27">
        <f t="shared" si="10"/>
        <v>0.82689331767353824</v>
      </c>
      <c r="H105" s="11">
        <f t="shared" si="11"/>
        <v>0.56330873609706789</v>
      </c>
      <c r="I105" s="11">
        <f t="shared" si="12"/>
        <v>0.27320503478214242</v>
      </c>
      <c r="J105" s="11">
        <f t="shared" si="13"/>
        <v>0.42541887394340616</v>
      </c>
      <c r="K105" s="8"/>
      <c r="L105" s="8"/>
      <c r="Q105" s="16"/>
      <c r="R105" s="16"/>
      <c r="S105" s="16"/>
      <c r="T105" s="8"/>
      <c r="U105" s="8"/>
      <c r="V105" s="8"/>
      <c r="W105" s="8"/>
      <c r="X105" s="8"/>
      <c r="Y105" s="8"/>
      <c r="Z105" s="8"/>
      <c r="AA105" s="8"/>
      <c r="AE105" s="8"/>
    </row>
    <row r="106" spans="1:31" x14ac:dyDescent="0.2">
      <c r="A106" s="4" t="s">
        <v>77</v>
      </c>
      <c r="C106" s="25">
        <v>22840</v>
      </c>
      <c r="D106" s="6">
        <v>29053</v>
      </c>
      <c r="E106" s="6">
        <v>30047</v>
      </c>
      <c r="F106" s="6">
        <v>31160</v>
      </c>
      <c r="G106" s="27">
        <f t="shared" si="10"/>
        <v>2.4339136259768468</v>
      </c>
      <c r="H106" s="11">
        <f t="shared" si="11"/>
        <v>0.64225135588364957</v>
      </c>
      <c r="I106" s="11">
        <f t="shared" si="12"/>
        <v>0.7681180322276715</v>
      </c>
      <c r="J106" s="11">
        <f t="shared" si="13"/>
        <v>0.7020123825963509</v>
      </c>
      <c r="K106" s="8"/>
      <c r="L106" s="8"/>
      <c r="M106" s="8"/>
      <c r="N106" s="9"/>
      <c r="O106" s="9"/>
      <c r="P106" s="9"/>
      <c r="Q106" s="15"/>
      <c r="R106" s="15"/>
      <c r="S106" s="15"/>
      <c r="T106" s="8"/>
      <c r="U106" s="8"/>
      <c r="V106" s="8"/>
      <c r="W106" s="8"/>
      <c r="X106" s="8"/>
      <c r="Y106" s="8"/>
      <c r="Z106" s="8"/>
      <c r="AA106" s="8"/>
      <c r="AE106" s="8"/>
    </row>
    <row r="107" spans="1:31" x14ac:dyDescent="0.2">
      <c r="A107" s="4" t="s">
        <v>78</v>
      </c>
      <c r="C107" s="21">
        <v>19635</v>
      </c>
      <c r="D107" s="6">
        <v>21662</v>
      </c>
      <c r="E107" s="6">
        <v>23854</v>
      </c>
      <c r="F107" s="6">
        <v>24644</v>
      </c>
      <c r="G107" s="29">
        <f t="shared" si="10"/>
        <v>0.98675747523011559</v>
      </c>
      <c r="H107" s="11">
        <f t="shared" si="11"/>
        <v>1.8512973430750312</v>
      </c>
      <c r="I107" s="11">
        <f t="shared" si="12"/>
        <v>0.68778754805551845</v>
      </c>
      <c r="J107" s="11">
        <f t="shared" si="13"/>
        <v>1.2970189691600575</v>
      </c>
      <c r="K107" s="8"/>
      <c r="L107" s="8"/>
      <c r="Q107" s="16"/>
      <c r="R107" s="16"/>
      <c r="S107" s="16"/>
      <c r="T107" s="8"/>
      <c r="U107" s="8"/>
      <c r="V107" s="8"/>
      <c r="W107" s="8"/>
      <c r="X107" s="8"/>
      <c r="Y107" s="8"/>
      <c r="Z107" s="8"/>
      <c r="AA107" s="8"/>
      <c r="AE107" s="8"/>
    </row>
    <row r="108" spans="1:31" x14ac:dyDescent="0.2">
      <c r="A108" s="4" t="s">
        <v>79</v>
      </c>
      <c r="C108" s="25">
        <v>65907</v>
      </c>
      <c r="D108" s="6">
        <v>69223</v>
      </c>
      <c r="E108" s="6">
        <v>73139</v>
      </c>
      <c r="F108" s="6">
        <v>71809</v>
      </c>
      <c r="G108" s="27">
        <f t="shared" si="10"/>
        <v>0.49182186114000714</v>
      </c>
      <c r="H108" s="11">
        <f t="shared" si="11"/>
        <v>1.0527091494688223</v>
      </c>
      <c r="I108" s="11">
        <f t="shared" si="12"/>
        <v>-0.38533361382366849</v>
      </c>
      <c r="J108" s="11">
        <f t="shared" si="13"/>
        <v>0.36713749085413028</v>
      </c>
      <c r="K108" s="8"/>
      <c r="L108" s="8"/>
      <c r="Q108" s="16"/>
      <c r="R108" s="16"/>
      <c r="S108" s="16"/>
      <c r="T108" s="8"/>
      <c r="U108" s="8"/>
      <c r="V108" s="8"/>
      <c r="W108" s="8"/>
      <c r="X108" s="8"/>
      <c r="Y108" s="8"/>
      <c r="Z108" s="8"/>
      <c r="AA108" s="8"/>
      <c r="AE108" s="8"/>
    </row>
    <row r="109" spans="1:31" x14ac:dyDescent="0.2">
      <c r="A109" s="4" t="s">
        <v>127</v>
      </c>
      <c r="C109" s="25">
        <v>92429</v>
      </c>
      <c r="D109" s="6">
        <v>110570</v>
      </c>
      <c r="E109" s="6">
        <v>117434</v>
      </c>
      <c r="F109" s="6">
        <v>137881</v>
      </c>
      <c r="G109" s="27">
        <f t="shared" si="10"/>
        <v>1.8072351693657618</v>
      </c>
      <c r="H109" s="11">
        <f t="shared" si="11"/>
        <v>1.1527404179869416</v>
      </c>
      <c r="I109" s="11">
        <f t="shared" si="12"/>
        <v>3.4344801737500541</v>
      </c>
      <c r="J109" s="11">
        <f t="shared" si="13"/>
        <v>2.2301124429014552</v>
      </c>
      <c r="K109" s="8"/>
      <c r="L109" s="8"/>
      <c r="Q109" s="16"/>
      <c r="R109" s="16"/>
      <c r="S109" s="16"/>
      <c r="T109" s="8"/>
      <c r="U109" s="8"/>
      <c r="V109" s="8"/>
      <c r="W109" s="8"/>
      <c r="X109" s="8"/>
      <c r="Y109" s="8"/>
      <c r="Z109" s="8"/>
      <c r="AA109" s="8"/>
      <c r="AE109" s="8"/>
    </row>
    <row r="110" spans="1:31" x14ac:dyDescent="0.2">
      <c r="A110" s="4" t="s">
        <v>80</v>
      </c>
      <c r="C110" s="25">
        <v>57736</v>
      </c>
      <c r="D110" s="6">
        <v>65832</v>
      </c>
      <c r="E110" s="6">
        <v>71073</v>
      </c>
      <c r="F110" s="6">
        <v>72752</v>
      </c>
      <c r="G110" s="27">
        <f t="shared" si="10"/>
        <v>1.3201711323369336</v>
      </c>
      <c r="H110" s="11">
        <f t="shared" si="11"/>
        <v>1.4684213632954135</v>
      </c>
      <c r="I110" s="11">
        <f t="shared" si="12"/>
        <v>0.49240957654710371</v>
      </c>
      <c r="J110" s="11">
        <f t="shared" si="13"/>
        <v>1.0036861909086925</v>
      </c>
      <c r="K110" s="8"/>
      <c r="L110" s="8"/>
      <c r="Q110" s="16"/>
      <c r="R110" s="16"/>
      <c r="S110" s="16"/>
      <c r="T110" s="8"/>
      <c r="U110" s="8"/>
      <c r="V110" s="8"/>
      <c r="W110" s="8"/>
      <c r="X110" s="8"/>
      <c r="Y110" s="8"/>
      <c r="Z110" s="8"/>
      <c r="AA110" s="8"/>
      <c r="AE110" s="8"/>
    </row>
    <row r="111" spans="1:31" x14ac:dyDescent="0.2">
      <c r="A111" s="4" t="s">
        <v>81</v>
      </c>
      <c r="C111" s="25">
        <v>23649</v>
      </c>
      <c r="D111" s="6">
        <v>27702</v>
      </c>
      <c r="E111" s="6">
        <v>28891</v>
      </c>
      <c r="F111" s="6">
        <v>32514</v>
      </c>
      <c r="G111" s="27">
        <f t="shared" si="10"/>
        <v>1.5935350102658896</v>
      </c>
      <c r="H111" s="11">
        <f t="shared" si="11"/>
        <v>0.80296222092928193</v>
      </c>
      <c r="I111" s="11">
        <f t="shared" si="12"/>
        <v>2.5165224399536612</v>
      </c>
      <c r="J111" s="11">
        <f t="shared" si="13"/>
        <v>1.6132203021760327</v>
      </c>
      <c r="K111" s="8"/>
      <c r="L111" s="8"/>
      <c r="Q111" s="16"/>
      <c r="R111" s="16"/>
      <c r="S111" s="16"/>
      <c r="T111" s="8"/>
      <c r="U111" s="8"/>
      <c r="V111" s="8"/>
      <c r="W111" s="8"/>
      <c r="X111" s="8"/>
      <c r="Y111" s="8"/>
      <c r="Z111" s="8"/>
      <c r="AA111" s="8"/>
      <c r="AE111" s="8"/>
    </row>
    <row r="112" spans="1:31" x14ac:dyDescent="0.2">
      <c r="A112" s="4" t="s">
        <v>82</v>
      </c>
      <c r="C112" s="25">
        <v>21068</v>
      </c>
      <c r="D112" s="6">
        <v>25373</v>
      </c>
      <c r="E112" s="6">
        <v>26494</v>
      </c>
      <c r="F112" s="6">
        <v>24804</v>
      </c>
      <c r="G112" s="27">
        <f t="shared" si="10"/>
        <v>1.8756584746589811</v>
      </c>
      <c r="H112" s="11">
        <f t="shared" si="11"/>
        <v>0.82612189694089011</v>
      </c>
      <c r="I112" s="11">
        <f t="shared" si="12"/>
        <v>-1.3770802670230675</v>
      </c>
      <c r="J112" s="11">
        <f t="shared" si="13"/>
        <v>-0.22636400622734199</v>
      </c>
      <c r="K112" s="8"/>
      <c r="L112" s="8"/>
      <c r="Q112" s="16"/>
      <c r="R112" s="16"/>
      <c r="S112" s="16"/>
      <c r="T112" s="8"/>
      <c r="U112" s="8"/>
      <c r="V112" s="8"/>
      <c r="W112" s="8"/>
      <c r="X112" s="8"/>
      <c r="Y112" s="8"/>
      <c r="Z112" s="8"/>
      <c r="AA112" s="8"/>
      <c r="AE112" s="8"/>
    </row>
    <row r="113" spans="1:31" x14ac:dyDescent="0.2">
      <c r="A113" s="4" t="s">
        <v>83</v>
      </c>
      <c r="C113" s="25">
        <v>23678</v>
      </c>
      <c r="D113" s="6">
        <v>25973</v>
      </c>
      <c r="E113" s="6">
        <v>29705</v>
      </c>
      <c r="F113" s="6">
        <v>34225</v>
      </c>
      <c r="G113" s="27">
        <f t="shared" si="10"/>
        <v>0.92889294517033427</v>
      </c>
      <c r="H113" s="11">
        <f t="shared" si="11"/>
        <v>2.5878778213749731</v>
      </c>
      <c r="I113" s="11">
        <f t="shared" si="12"/>
        <v>3.0246065356909435</v>
      </c>
      <c r="J113" s="11">
        <f t="shared" si="13"/>
        <v>2.7950717216707277</v>
      </c>
      <c r="K113" s="8"/>
      <c r="L113" s="8"/>
      <c r="Q113" s="16"/>
      <c r="R113" s="16"/>
      <c r="S113" s="16"/>
      <c r="T113" s="8"/>
      <c r="U113" s="8"/>
      <c r="V113" s="8"/>
      <c r="W113" s="8"/>
      <c r="X113" s="8"/>
      <c r="Y113" s="8"/>
      <c r="Z113" s="8"/>
      <c r="AA113" s="8"/>
      <c r="AE113" s="8"/>
    </row>
    <row r="114" spans="1:31" x14ac:dyDescent="0.2">
      <c r="A114" s="4" t="s">
        <v>84</v>
      </c>
      <c r="C114" s="25">
        <v>37164</v>
      </c>
      <c r="D114" s="6">
        <v>41669</v>
      </c>
      <c r="E114" s="6">
        <v>45155</v>
      </c>
      <c r="F114" s="6">
        <v>44045</v>
      </c>
      <c r="G114" s="27">
        <f t="shared" si="10"/>
        <v>1.1501058047251878</v>
      </c>
      <c r="H114" s="11">
        <f t="shared" si="11"/>
        <v>1.5407057329587248</v>
      </c>
      <c r="I114" s="11">
        <f t="shared" si="12"/>
        <v>-0.52223674508103946</v>
      </c>
      <c r="J114" s="11">
        <f t="shared" si="13"/>
        <v>0.55562640922539597</v>
      </c>
      <c r="K114" s="8"/>
      <c r="L114" s="8"/>
      <c r="Q114" s="16"/>
      <c r="R114" s="16"/>
      <c r="S114" s="16"/>
      <c r="T114" s="8"/>
      <c r="U114" s="8"/>
      <c r="V114" s="8"/>
      <c r="W114" s="8"/>
      <c r="X114" s="8"/>
      <c r="Y114" s="8"/>
      <c r="Z114" s="8"/>
      <c r="AA114" s="8"/>
      <c r="AE114" s="8"/>
    </row>
    <row r="115" spans="1:31" x14ac:dyDescent="0.2">
      <c r="A115" s="4" t="s">
        <v>85</v>
      </c>
      <c r="C115" s="25">
        <v>60191</v>
      </c>
      <c r="D115" s="6">
        <v>69618</v>
      </c>
      <c r="E115" s="6">
        <v>73877</v>
      </c>
      <c r="F115" s="6">
        <v>71942</v>
      </c>
      <c r="G115" s="27">
        <f t="shared" si="10"/>
        <v>1.4648313467369833</v>
      </c>
      <c r="H115" s="11">
        <f t="shared" si="11"/>
        <v>1.1363935163817951</v>
      </c>
      <c r="I115" s="11">
        <f t="shared" si="12"/>
        <v>-0.55680589568753991</v>
      </c>
      <c r="J115" s="11">
        <f t="shared" si="13"/>
        <v>0.32864001117607344</v>
      </c>
      <c r="K115" s="8"/>
      <c r="L115" s="8"/>
      <c r="Q115" s="16"/>
      <c r="R115" s="16"/>
      <c r="S115" s="16"/>
      <c r="T115" s="8"/>
      <c r="U115" s="8"/>
      <c r="V115" s="8"/>
      <c r="W115" s="8"/>
      <c r="X115" s="8"/>
      <c r="Y115" s="8"/>
      <c r="Z115" s="8"/>
      <c r="AA115" s="8"/>
      <c r="AE115" s="8"/>
    </row>
    <row r="116" spans="1:31" x14ac:dyDescent="0.2">
      <c r="A116" s="4" t="s">
        <v>117</v>
      </c>
      <c r="C116" s="25">
        <v>50992</v>
      </c>
      <c r="D116" s="6">
        <v>64818</v>
      </c>
      <c r="E116" s="6">
        <v>69079</v>
      </c>
      <c r="F116" s="6">
        <v>76186</v>
      </c>
      <c r="G116" s="27">
        <f t="shared" si="10"/>
        <v>2.4268111193052722</v>
      </c>
      <c r="H116" s="11">
        <f t="shared" si="11"/>
        <v>1.2189762367378787</v>
      </c>
      <c r="I116" s="11">
        <f t="shared" si="12"/>
        <v>2.0815017557739068</v>
      </c>
      <c r="J116" s="11">
        <f t="shared" si="13"/>
        <v>1.6277220539152371</v>
      </c>
      <c r="K116" s="8"/>
      <c r="L116" s="8"/>
      <c r="Q116" s="16"/>
      <c r="R116" s="16"/>
      <c r="S116" s="16"/>
      <c r="T116" s="8"/>
      <c r="U116" s="8"/>
      <c r="V116" s="8"/>
      <c r="W116" s="8"/>
      <c r="X116" s="8"/>
      <c r="Y116" s="8"/>
      <c r="Z116" s="8"/>
      <c r="AA116" s="8"/>
      <c r="AE116" s="8"/>
    </row>
    <row r="117" spans="1:31" x14ac:dyDescent="0.2">
      <c r="A117" s="4" t="s">
        <v>86</v>
      </c>
      <c r="C117" s="25">
        <v>5817</v>
      </c>
      <c r="D117" s="6">
        <v>6884</v>
      </c>
      <c r="E117" s="6">
        <v>7417</v>
      </c>
      <c r="F117" s="6">
        <v>7667</v>
      </c>
      <c r="G117" s="27">
        <f t="shared" si="10"/>
        <v>1.6974759490465008</v>
      </c>
      <c r="H117" s="11">
        <f t="shared" si="11"/>
        <v>1.4292941437368922</v>
      </c>
      <c r="I117" s="11">
        <f t="shared" si="12"/>
        <v>0.69984508651581567</v>
      </c>
      <c r="J117" s="11">
        <f t="shared" si="13"/>
        <v>1.082184282487697</v>
      </c>
      <c r="K117" s="8"/>
      <c r="L117" s="8"/>
      <c r="Q117" s="16"/>
      <c r="R117" s="16"/>
      <c r="S117" s="16"/>
      <c r="T117" s="8"/>
      <c r="U117" s="8"/>
      <c r="V117" s="8"/>
      <c r="W117" s="8"/>
      <c r="X117" s="8"/>
      <c r="Y117" s="8"/>
      <c r="Z117" s="8"/>
      <c r="AA117" s="8"/>
      <c r="AE117" s="8"/>
    </row>
    <row r="118" spans="1:31" x14ac:dyDescent="0.2">
      <c r="A118" s="4" t="s">
        <v>87</v>
      </c>
      <c r="C118" s="25">
        <v>78694</v>
      </c>
      <c r="D118" s="6">
        <v>91074</v>
      </c>
      <c r="E118" s="6">
        <v>95167</v>
      </c>
      <c r="F118" s="6">
        <v>94657</v>
      </c>
      <c r="G118" s="27">
        <f t="shared" si="10"/>
        <v>1.4709681529368579</v>
      </c>
      <c r="H118" s="11">
        <f t="shared" si="11"/>
        <v>0.840095253371409</v>
      </c>
      <c r="I118" s="11">
        <f t="shared" si="12"/>
        <v>-0.11297908024673342</v>
      </c>
      <c r="J118" s="11">
        <f t="shared" si="13"/>
        <v>0.38630202071083808</v>
      </c>
      <c r="K118" s="8"/>
      <c r="L118" s="8"/>
      <c r="Q118" s="16"/>
      <c r="R118" s="16"/>
      <c r="S118" s="16"/>
      <c r="T118" s="8"/>
      <c r="U118" s="8"/>
      <c r="V118" s="8"/>
      <c r="W118" s="8"/>
      <c r="X118" s="8"/>
      <c r="Y118" s="8"/>
      <c r="Z118" s="8"/>
      <c r="AA118" s="8"/>
      <c r="AE118" s="8"/>
    </row>
    <row r="119" spans="1:31" x14ac:dyDescent="0.2">
      <c r="A119" s="4" t="s">
        <v>88</v>
      </c>
      <c r="C119" s="25">
        <v>38834</v>
      </c>
      <c r="D119" s="6">
        <v>46698</v>
      </c>
      <c r="E119" s="6">
        <v>51475</v>
      </c>
      <c r="F119" s="6">
        <v>53091</v>
      </c>
      <c r="G119" s="27">
        <f t="shared" si="10"/>
        <v>1.8601308122433657</v>
      </c>
      <c r="H119" s="11">
        <f t="shared" si="11"/>
        <v>1.8707315749780351</v>
      </c>
      <c r="I119" s="11">
        <f t="shared" si="12"/>
        <v>0.65241160679403443</v>
      </c>
      <c r="J119" s="11">
        <f t="shared" si="13"/>
        <v>1.2902600886963933</v>
      </c>
      <c r="K119" s="8"/>
      <c r="L119" s="8"/>
      <c r="Q119" s="16"/>
      <c r="R119" s="16"/>
      <c r="S119" s="16"/>
      <c r="T119" s="8"/>
      <c r="U119" s="8"/>
      <c r="V119" s="8"/>
      <c r="W119" s="8"/>
      <c r="X119" s="8"/>
      <c r="Y119" s="8"/>
      <c r="Z119" s="8"/>
      <c r="AA119" s="8"/>
      <c r="AE119" s="8"/>
    </row>
    <row r="120" spans="1:31" x14ac:dyDescent="0.2">
      <c r="A120" s="4" t="s">
        <v>89</v>
      </c>
      <c r="C120" s="25">
        <v>22935</v>
      </c>
      <c r="D120" s="6">
        <v>26419</v>
      </c>
      <c r="E120" s="6">
        <v>28188</v>
      </c>
      <c r="F120" s="6">
        <v>27312</v>
      </c>
      <c r="G120" s="27">
        <f t="shared" si="10"/>
        <v>1.4234547163908706</v>
      </c>
      <c r="H120" s="11">
        <f t="shared" si="11"/>
        <v>1.2410429792715227</v>
      </c>
      <c r="I120" s="11">
        <f t="shared" si="12"/>
        <v>-0.66195607636287956</v>
      </c>
      <c r="J120" s="11">
        <f t="shared" si="13"/>
        <v>0.33270641768856635</v>
      </c>
      <c r="K120" s="8"/>
      <c r="L120" s="8"/>
      <c r="Q120" s="16"/>
      <c r="R120" s="16"/>
      <c r="S120" s="16"/>
      <c r="T120" s="8"/>
      <c r="U120" s="8"/>
      <c r="V120" s="8"/>
      <c r="W120" s="8"/>
      <c r="X120" s="8"/>
      <c r="Y120" s="8"/>
      <c r="Z120" s="8"/>
      <c r="AA120" s="8"/>
      <c r="AE120" s="8"/>
    </row>
    <row r="121" spans="1:31" x14ac:dyDescent="0.2">
      <c r="A121" s="4" t="s">
        <v>90</v>
      </c>
      <c r="C121" s="25">
        <v>50134</v>
      </c>
      <c r="D121" s="6">
        <v>61141</v>
      </c>
      <c r="E121" s="6">
        <v>63819</v>
      </c>
      <c r="F121" s="6">
        <v>71081</v>
      </c>
      <c r="G121" s="27">
        <f t="shared" si="10"/>
        <v>2.0035525204616045</v>
      </c>
      <c r="H121" s="11">
        <f t="shared" si="11"/>
        <v>0.81913030224884942</v>
      </c>
      <c r="I121" s="11">
        <f t="shared" si="12"/>
        <v>2.2930850470719744</v>
      </c>
      <c r="J121" s="11">
        <f t="shared" si="13"/>
        <v>1.5165211270385726</v>
      </c>
      <c r="K121" s="8"/>
      <c r="L121" s="8"/>
      <c r="Q121" s="16"/>
      <c r="R121" s="16"/>
      <c r="S121" s="16"/>
      <c r="T121" s="8"/>
      <c r="U121" s="8"/>
      <c r="V121" s="8"/>
      <c r="W121" s="8"/>
      <c r="X121" s="8"/>
      <c r="Y121" s="8"/>
      <c r="Z121" s="8"/>
      <c r="AA121" s="8"/>
      <c r="AE121" s="8"/>
    </row>
    <row r="122" spans="1:31" x14ac:dyDescent="0.2">
      <c r="A122" s="4" t="s">
        <v>91</v>
      </c>
      <c r="C122" s="25">
        <v>45903</v>
      </c>
      <c r="D122" s="6">
        <v>50826</v>
      </c>
      <c r="E122" s="6">
        <v>53123</v>
      </c>
      <c r="F122" s="6">
        <v>55576</v>
      </c>
      <c r="G122" s="27">
        <f t="shared" si="10"/>
        <v>1.0234191504977286</v>
      </c>
      <c r="H122" s="11">
        <f t="shared" si="11"/>
        <v>0.84472141660376643</v>
      </c>
      <c r="I122" s="11">
        <f t="shared" si="12"/>
        <v>0.95418573043601906</v>
      </c>
      <c r="J122" s="11">
        <f t="shared" si="13"/>
        <v>0.89669691455649403</v>
      </c>
      <c r="K122" s="8"/>
      <c r="L122" s="8"/>
      <c r="Q122" s="16"/>
      <c r="R122" s="16"/>
      <c r="S122" s="16"/>
      <c r="T122" s="8"/>
      <c r="U122" s="8"/>
      <c r="V122" s="8"/>
      <c r="W122" s="8"/>
      <c r="X122" s="8"/>
      <c r="Y122" s="8"/>
      <c r="Z122" s="8"/>
      <c r="AA122" s="8"/>
      <c r="AE122" s="8"/>
    </row>
    <row r="123" spans="1:31" x14ac:dyDescent="0.2">
      <c r="A123" s="4" t="s">
        <v>92</v>
      </c>
      <c r="C123" s="25">
        <v>18962</v>
      </c>
      <c r="D123" s="6">
        <v>20161</v>
      </c>
      <c r="E123" s="6">
        <v>22460</v>
      </c>
      <c r="F123" s="6">
        <v>23488</v>
      </c>
      <c r="G123" s="27">
        <f t="shared" si="10"/>
        <v>0.61467633762266605</v>
      </c>
      <c r="H123" s="11">
        <f t="shared" si="11"/>
        <v>2.0762581158767723</v>
      </c>
      <c r="I123" s="11">
        <f t="shared" si="12"/>
        <v>0.94595051253849594</v>
      </c>
      <c r="J123" s="11">
        <f t="shared" si="13"/>
        <v>1.5378467216051073</v>
      </c>
      <c r="K123" s="8"/>
      <c r="L123" s="8"/>
      <c r="Q123" s="16"/>
      <c r="R123" s="16"/>
      <c r="S123" s="16"/>
      <c r="T123" s="8"/>
      <c r="U123" s="8"/>
      <c r="V123" s="8"/>
      <c r="W123" s="8"/>
      <c r="X123" s="8"/>
      <c r="Y123" s="8"/>
      <c r="Z123" s="8"/>
      <c r="AA123" s="8"/>
      <c r="AE123" s="8"/>
    </row>
    <row r="124" spans="1:31" x14ac:dyDescent="0.2">
      <c r="A124" s="4" t="s">
        <v>93</v>
      </c>
      <c r="C124" s="25">
        <v>53442</v>
      </c>
      <c r="D124" s="6">
        <v>65996</v>
      </c>
      <c r="E124" s="6">
        <v>75023</v>
      </c>
      <c r="F124" s="6">
        <v>78700</v>
      </c>
      <c r="G124" s="27">
        <f t="shared" si="10"/>
        <v>2.1312089491212216</v>
      </c>
      <c r="H124" s="11">
        <f t="shared" si="11"/>
        <v>2.4696920417720314</v>
      </c>
      <c r="I124" s="11">
        <f t="shared" si="12"/>
        <v>1.011692814289944</v>
      </c>
      <c r="J124" s="11">
        <f t="shared" si="13"/>
        <v>1.7746067247662589</v>
      </c>
      <c r="K124" s="8"/>
      <c r="L124" s="8"/>
      <c r="Q124" s="16"/>
      <c r="R124" s="16"/>
      <c r="S124" s="16"/>
      <c r="T124" s="8"/>
      <c r="U124" s="8"/>
      <c r="V124" s="8"/>
      <c r="W124" s="8"/>
      <c r="X124" s="8"/>
      <c r="Y124" s="8"/>
      <c r="Z124" s="8"/>
      <c r="AA124" s="8"/>
      <c r="AE124" s="8"/>
    </row>
    <row r="125" spans="1:31" x14ac:dyDescent="0.2">
      <c r="A125" s="4" t="s">
        <v>94</v>
      </c>
      <c r="C125" s="21">
        <v>11311</v>
      </c>
      <c r="D125" s="6">
        <v>15015</v>
      </c>
      <c r="E125" s="6">
        <v>16452</v>
      </c>
      <c r="F125" s="6">
        <v>16376</v>
      </c>
      <c r="G125" s="29">
        <f t="shared" si="10"/>
        <v>2.8716477098978288</v>
      </c>
      <c r="H125" s="11">
        <f t="shared" si="11"/>
        <v>1.7545276062215454</v>
      </c>
      <c r="I125" s="11">
        <f t="shared" si="12"/>
        <v>-9.7360282066516479E-2</v>
      </c>
      <c r="J125" s="11">
        <f t="shared" si="13"/>
        <v>0.87072787289268483</v>
      </c>
      <c r="K125" s="8"/>
      <c r="L125" s="8"/>
      <c r="Q125" s="16"/>
      <c r="R125" s="16"/>
      <c r="S125" s="16"/>
      <c r="T125" s="8"/>
      <c r="U125" s="8"/>
      <c r="V125" s="8"/>
      <c r="W125" s="8"/>
      <c r="X125" s="8"/>
      <c r="Y125" s="8"/>
      <c r="Z125" s="8"/>
      <c r="AA125" s="8"/>
      <c r="AE125" s="8"/>
    </row>
    <row r="126" spans="1:31" x14ac:dyDescent="0.2">
      <c r="A126" s="4" t="s">
        <v>95</v>
      </c>
      <c r="C126" s="25">
        <v>11034</v>
      </c>
      <c r="D126" s="6">
        <v>13865</v>
      </c>
      <c r="E126" s="6">
        <v>14606</v>
      </c>
      <c r="F126" s="6">
        <v>15052</v>
      </c>
      <c r="G126" s="27">
        <f t="shared" si="10"/>
        <v>2.3088628364553498</v>
      </c>
      <c r="H126" s="11">
        <f t="shared" si="11"/>
        <v>0.99572890305583694</v>
      </c>
      <c r="I126" s="11">
        <f t="shared" si="12"/>
        <v>0.6347809679605021</v>
      </c>
      <c r="J126" s="11">
        <f t="shared" si="13"/>
        <v>0.82413478851905975</v>
      </c>
      <c r="K126" s="8"/>
      <c r="L126" s="8"/>
      <c r="Q126" s="16"/>
      <c r="R126" s="16"/>
      <c r="S126" s="16"/>
      <c r="T126" s="8"/>
      <c r="U126" s="8"/>
      <c r="V126" s="8"/>
      <c r="W126" s="8"/>
      <c r="X126" s="8"/>
      <c r="Y126" s="8"/>
      <c r="Z126" s="8"/>
      <c r="AA126" s="8"/>
      <c r="AE126" s="8"/>
    </row>
    <row r="127" spans="1:31" x14ac:dyDescent="0.2">
      <c r="A127" s="4" t="s">
        <v>96</v>
      </c>
      <c r="C127" s="25">
        <v>10454</v>
      </c>
      <c r="D127" s="6">
        <v>12039</v>
      </c>
      <c r="E127" s="6">
        <v>12173</v>
      </c>
      <c r="F127" s="6">
        <v>12767</v>
      </c>
      <c r="G127" s="27">
        <f t="shared" si="10"/>
        <v>1.4208939869532866</v>
      </c>
      <c r="H127" s="11">
        <f t="shared" si="11"/>
        <v>0.21086782401191773</v>
      </c>
      <c r="I127" s="11">
        <f t="shared" si="12"/>
        <v>1.0073346883683554</v>
      </c>
      <c r="J127" s="11">
        <f t="shared" si="13"/>
        <v>0.58836530727781611</v>
      </c>
      <c r="K127" s="8"/>
      <c r="L127" s="8"/>
      <c r="Q127" s="16"/>
      <c r="R127" s="16"/>
      <c r="S127" s="16"/>
      <c r="T127" s="8"/>
      <c r="U127" s="8"/>
      <c r="V127" s="8"/>
      <c r="W127" s="8"/>
      <c r="X127" s="8"/>
      <c r="Y127" s="8"/>
      <c r="Z127" s="8"/>
      <c r="AA127" s="8"/>
      <c r="AE127" s="8"/>
    </row>
    <row r="128" spans="1:31" x14ac:dyDescent="0.2">
      <c r="A128" s="4" t="s">
        <v>97</v>
      </c>
      <c r="C128" s="25">
        <v>20558</v>
      </c>
      <c r="D128" s="6">
        <v>21380</v>
      </c>
      <c r="E128" s="6">
        <v>23019</v>
      </c>
      <c r="F128" s="6">
        <v>22798</v>
      </c>
      <c r="G128" s="27">
        <f t="shared" si="10"/>
        <v>0.39261145912841133</v>
      </c>
      <c r="H128" s="11">
        <f t="shared" si="11"/>
        <v>1.4155764278053207</v>
      </c>
      <c r="I128" s="11">
        <f t="shared" si="12"/>
        <v>-0.20274574319349981</v>
      </c>
      <c r="J128" s="11">
        <f t="shared" si="13"/>
        <v>0.64370462561402775</v>
      </c>
      <c r="K128" s="8"/>
      <c r="L128" s="8"/>
      <c r="Q128" s="16"/>
      <c r="R128" s="16"/>
      <c r="S128" s="16"/>
      <c r="T128" s="8"/>
      <c r="U128" s="8"/>
      <c r="V128" s="8"/>
      <c r="W128" s="8"/>
      <c r="X128" s="8"/>
      <c r="Y128" s="8"/>
      <c r="Z128" s="8"/>
      <c r="AA128" s="8"/>
      <c r="AE128" s="8"/>
    </row>
    <row r="129" spans="1:31" x14ac:dyDescent="0.2">
      <c r="A129" s="4" t="s">
        <v>115</v>
      </c>
      <c r="C129" s="25">
        <v>9501</v>
      </c>
      <c r="D129" s="6">
        <v>10238</v>
      </c>
      <c r="E129" s="6">
        <v>10935</v>
      </c>
      <c r="F129" s="6">
        <v>10129</v>
      </c>
      <c r="G129" s="27">
        <f t="shared" si="10"/>
        <v>0.74947780682010912</v>
      </c>
      <c r="H129" s="11">
        <f t="shared" si="11"/>
        <v>1.2612643072101193</v>
      </c>
      <c r="I129" s="11">
        <f t="shared" si="12"/>
        <v>-1.5978523787803955</v>
      </c>
      <c r="J129" s="11">
        <f t="shared" si="13"/>
        <v>-0.10689183994045948</v>
      </c>
      <c r="K129" s="8"/>
      <c r="L129" s="8"/>
      <c r="Q129" s="16"/>
      <c r="R129" s="16"/>
      <c r="S129" s="16"/>
      <c r="T129" s="8"/>
      <c r="U129" s="8"/>
      <c r="V129" s="8"/>
      <c r="W129" s="8"/>
      <c r="X129" s="8"/>
      <c r="Y129" s="8"/>
      <c r="Z129" s="8"/>
      <c r="AA129" s="8"/>
      <c r="AE129" s="8"/>
    </row>
    <row r="130" spans="1:31" x14ac:dyDescent="0.2">
      <c r="A130" s="4" t="s">
        <v>98</v>
      </c>
      <c r="C130" s="25">
        <v>24105</v>
      </c>
      <c r="D130" s="6">
        <v>28125</v>
      </c>
      <c r="E130" s="6">
        <v>30582</v>
      </c>
      <c r="F130" s="6">
        <v>31908</v>
      </c>
      <c r="G130" s="27">
        <f t="shared" si="10"/>
        <v>1.553494230431518</v>
      </c>
      <c r="H130" s="11">
        <f t="shared" si="11"/>
        <v>1.606604026076397</v>
      </c>
      <c r="I130" s="11">
        <f t="shared" si="12"/>
        <v>0.89693714437579786</v>
      </c>
      <c r="J130" s="11">
        <f t="shared" si="13"/>
        <v>1.2689260256328661</v>
      </c>
      <c r="K130" s="8"/>
      <c r="L130" s="8"/>
      <c r="Q130" s="16"/>
      <c r="R130" s="16"/>
      <c r="S130" s="16"/>
      <c r="T130" s="8"/>
      <c r="U130" s="8"/>
      <c r="V130" s="8"/>
      <c r="W130" s="8"/>
      <c r="X130" s="8"/>
      <c r="Y130" s="8"/>
      <c r="Z130" s="8"/>
      <c r="AA130" s="8"/>
      <c r="AE130" s="8"/>
    </row>
    <row r="131" spans="1:31" x14ac:dyDescent="0.2">
      <c r="A131" s="4" t="s">
        <v>122</v>
      </c>
      <c r="C131" s="25">
        <v>14594</v>
      </c>
      <c r="D131" s="6">
        <v>15142</v>
      </c>
      <c r="E131" s="6">
        <v>15228</v>
      </c>
      <c r="F131" s="6">
        <v>15886</v>
      </c>
      <c r="G131" s="27">
        <f t="shared" si="10"/>
        <v>0.36909615963971465</v>
      </c>
      <c r="H131" s="11">
        <f t="shared" si="11"/>
        <v>0.10783584228255538</v>
      </c>
      <c r="I131" s="11">
        <f t="shared" si="12"/>
        <v>0.89390648160661001</v>
      </c>
      <c r="J131" s="11">
        <f t="shared" si="13"/>
        <v>0.48041517998540506</v>
      </c>
      <c r="K131" s="8"/>
      <c r="L131" s="8"/>
      <c r="Q131" s="16"/>
      <c r="R131" s="16"/>
      <c r="S131" s="16"/>
      <c r="T131" s="8"/>
      <c r="U131" s="8"/>
      <c r="V131" s="8"/>
      <c r="W131" s="8"/>
      <c r="X131" s="8"/>
      <c r="Y131" s="8"/>
      <c r="Z131" s="8"/>
      <c r="AA131" s="8"/>
      <c r="AE131" s="8"/>
    </row>
    <row r="132" spans="1:31" x14ac:dyDescent="0.2">
      <c r="A132" s="4" t="s">
        <v>99</v>
      </c>
      <c r="C132" s="25">
        <v>30684</v>
      </c>
      <c r="D132" s="6">
        <v>35189</v>
      </c>
      <c r="E132" s="6">
        <v>35979</v>
      </c>
      <c r="F132" s="6">
        <v>38678</v>
      </c>
      <c r="G132" s="27">
        <f t="shared" si="10"/>
        <v>1.3785877256465628</v>
      </c>
      <c r="H132" s="11">
        <f t="shared" si="11"/>
        <v>0.42340132500424676</v>
      </c>
      <c r="I132" s="11">
        <f t="shared" si="12"/>
        <v>1.5333937299863543</v>
      </c>
      <c r="J132" s="11">
        <f t="shared" si="13"/>
        <v>0.94907331638944825</v>
      </c>
      <c r="K132" s="8"/>
      <c r="L132" s="8"/>
      <c r="Q132" s="16"/>
      <c r="R132" s="16"/>
      <c r="S132" s="16"/>
      <c r="T132" s="8"/>
      <c r="U132" s="8"/>
      <c r="V132" s="8"/>
      <c r="W132" s="8"/>
      <c r="X132" s="8"/>
      <c r="Y132" s="8"/>
      <c r="Z132" s="8"/>
      <c r="AA132" s="8"/>
      <c r="AE132" s="8"/>
    </row>
    <row r="133" spans="1:31" x14ac:dyDescent="0.2">
      <c r="A133" s="4" t="s">
        <v>100</v>
      </c>
      <c r="C133" s="25">
        <v>12858</v>
      </c>
      <c r="D133" s="6">
        <v>13107</v>
      </c>
      <c r="E133" s="6">
        <v>13907</v>
      </c>
      <c r="F133" s="6">
        <v>13629</v>
      </c>
      <c r="G133" s="27">
        <f t="shared" si="10"/>
        <v>0.19188134656058509</v>
      </c>
      <c r="H133" s="11">
        <f t="shared" si="11"/>
        <v>1.1338429705445074</v>
      </c>
      <c r="I133" s="11">
        <f t="shared" si="12"/>
        <v>-0.42389663612787398</v>
      </c>
      <c r="J133" s="11">
        <f t="shared" si="13"/>
        <v>0.39097596922059719</v>
      </c>
      <c r="K133" s="8"/>
      <c r="L133" s="8"/>
      <c r="Q133" s="16"/>
      <c r="R133" s="16"/>
      <c r="S133" s="16"/>
      <c r="T133" s="8"/>
      <c r="U133" s="8"/>
      <c r="V133" s="8"/>
      <c r="W133" s="8"/>
      <c r="X133" s="8"/>
      <c r="Y133" s="8"/>
      <c r="Z133" s="8"/>
      <c r="AA133" s="8"/>
      <c r="AE133" s="8"/>
    </row>
    <row r="134" spans="1:31" x14ac:dyDescent="0.2">
      <c r="A134" s="4" t="s">
        <v>101</v>
      </c>
      <c r="C134" s="25">
        <v>27184</v>
      </c>
      <c r="D134" s="6">
        <v>33586</v>
      </c>
      <c r="E134" s="6">
        <v>35780</v>
      </c>
      <c r="F134" s="6">
        <v>37454</v>
      </c>
      <c r="G134" s="27">
        <f t="shared" si="10"/>
        <v>2.1361451031094658</v>
      </c>
      <c r="H134" s="11">
        <f t="shared" si="11"/>
        <v>1.2115091290679336</v>
      </c>
      <c r="I134" s="11">
        <f t="shared" si="12"/>
        <v>0.96656753956225749</v>
      </c>
      <c r="J134" s="11">
        <f t="shared" si="13"/>
        <v>1.0950996052921491</v>
      </c>
      <c r="K134" s="8"/>
      <c r="L134" s="8"/>
      <c r="Q134" s="16"/>
      <c r="R134" s="16"/>
      <c r="S134" s="16"/>
      <c r="T134" s="8"/>
      <c r="U134" s="8"/>
      <c r="V134" s="8"/>
      <c r="W134" s="8"/>
      <c r="X134" s="8"/>
      <c r="Y134" s="8"/>
      <c r="Z134" s="8"/>
      <c r="AA134" s="8"/>
      <c r="AE134" s="8"/>
    </row>
    <row r="135" spans="1:31" x14ac:dyDescent="0.2">
      <c r="A135" s="4" t="s">
        <v>14</v>
      </c>
      <c r="C135" s="25">
        <v>26419</v>
      </c>
      <c r="D135" s="6">
        <v>31681</v>
      </c>
      <c r="E135" s="6">
        <v>33467</v>
      </c>
      <c r="F135" s="6">
        <v>35891</v>
      </c>
      <c r="G135" s="27">
        <f t="shared" si="10"/>
        <v>1.8319196264600102</v>
      </c>
      <c r="H135" s="11">
        <f t="shared" si="11"/>
        <v>1.049135859110728</v>
      </c>
      <c r="I135" s="11">
        <f t="shared" si="12"/>
        <v>1.4819538399200916</v>
      </c>
      <c r="J135" s="11">
        <f t="shared" si="13"/>
        <v>1.2544730159329776</v>
      </c>
      <c r="K135" s="8"/>
      <c r="L135" s="8"/>
      <c r="Q135" s="16"/>
      <c r="R135" s="16"/>
      <c r="S135" s="16"/>
      <c r="T135" s="8"/>
      <c r="U135" s="8"/>
      <c r="V135" s="8"/>
      <c r="W135" s="8"/>
      <c r="X135" s="8"/>
      <c r="Y135" s="8"/>
      <c r="Z135" s="8"/>
      <c r="AA135" s="8"/>
      <c r="AE135" s="8"/>
    </row>
    <row r="136" spans="1:31" x14ac:dyDescent="0.2">
      <c r="A136" s="4" t="s">
        <v>102</v>
      </c>
      <c r="C136" s="25">
        <v>48310</v>
      </c>
      <c r="D136" s="6">
        <v>57979</v>
      </c>
      <c r="E136" s="6">
        <v>61473</v>
      </c>
      <c r="F136" s="6">
        <v>62097</v>
      </c>
      <c r="G136" s="27">
        <f t="shared" ref="G136:G160" si="14">(((D136/C136)^(1/(($D$5-$C$5)/365))-1)*100)</f>
        <v>1.8401497171942838</v>
      </c>
      <c r="H136" s="11">
        <f t="shared" si="11"/>
        <v>1.1198194916009152</v>
      </c>
      <c r="I136" s="11">
        <f t="shared" si="12"/>
        <v>0.21269636658045599</v>
      </c>
      <c r="J136" s="11">
        <f t="shared" si="13"/>
        <v>0.68796016335193055</v>
      </c>
      <c r="K136" s="8"/>
      <c r="L136" s="8"/>
      <c r="Q136" s="16"/>
      <c r="R136" s="16"/>
      <c r="S136" s="16"/>
      <c r="T136" s="8"/>
      <c r="U136" s="8"/>
      <c r="V136" s="8"/>
      <c r="W136" s="8"/>
      <c r="X136" s="8"/>
      <c r="Y136" s="8"/>
      <c r="Z136" s="8"/>
      <c r="AA136" s="8"/>
      <c r="AE136" s="8"/>
    </row>
    <row r="137" spans="1:31" x14ac:dyDescent="0.2">
      <c r="A137" s="4" t="s">
        <v>128</v>
      </c>
      <c r="C137" s="25">
        <v>38474</v>
      </c>
      <c r="D137" s="6">
        <v>45386</v>
      </c>
      <c r="E137" s="6">
        <v>48461</v>
      </c>
      <c r="F137" s="6">
        <v>51058</v>
      </c>
      <c r="G137" s="27">
        <f t="shared" si="14"/>
        <v>1.6650145660185078</v>
      </c>
      <c r="H137" s="11">
        <f t="shared" si="11"/>
        <v>1.2553542367420123</v>
      </c>
      <c r="I137" s="11">
        <f t="shared" si="12"/>
        <v>1.1042689654030324</v>
      </c>
      <c r="J137" s="11">
        <f t="shared" si="13"/>
        <v>1.1835678404056083</v>
      </c>
      <c r="K137" s="8"/>
      <c r="L137" s="8"/>
      <c r="Q137" s="16"/>
      <c r="R137" s="16"/>
      <c r="S137" s="16"/>
      <c r="T137" s="8"/>
      <c r="U137" s="8"/>
      <c r="V137" s="8"/>
      <c r="W137" s="8"/>
      <c r="X137" s="8"/>
      <c r="Y137" s="8"/>
      <c r="Z137" s="8"/>
      <c r="AA137" s="8"/>
      <c r="AE137" s="8"/>
    </row>
    <row r="138" spans="1:31" x14ac:dyDescent="0.2">
      <c r="A138" s="4" t="s">
        <v>103</v>
      </c>
      <c r="C138" s="25">
        <v>114568</v>
      </c>
      <c r="D138" s="6">
        <v>138894</v>
      </c>
      <c r="E138" s="6">
        <v>148980</v>
      </c>
      <c r="F138" s="6">
        <v>161868</v>
      </c>
      <c r="G138" s="27">
        <f t="shared" si="14"/>
        <v>1.9430061009569011</v>
      </c>
      <c r="H138" s="11">
        <f t="shared" si="11"/>
        <v>1.3429771594913653</v>
      </c>
      <c r="I138" s="11">
        <f t="shared" si="12"/>
        <v>1.7607820315404865</v>
      </c>
      <c r="J138" s="11">
        <f t="shared" si="13"/>
        <v>1.5412001381209572</v>
      </c>
      <c r="K138" s="8"/>
      <c r="L138" s="8"/>
      <c r="Q138" s="16"/>
      <c r="R138" s="16"/>
      <c r="S138" s="16"/>
      <c r="T138" s="8"/>
      <c r="U138" s="8"/>
      <c r="V138" s="8"/>
      <c r="W138" s="8"/>
      <c r="X138" s="8"/>
      <c r="Y138" s="8"/>
      <c r="Z138" s="8"/>
      <c r="AA138" s="8"/>
      <c r="AE138" s="8"/>
    </row>
    <row r="139" spans="1:31" x14ac:dyDescent="0.2">
      <c r="A139" s="4" t="s">
        <v>104</v>
      </c>
      <c r="C139" s="25">
        <v>44290</v>
      </c>
      <c r="D139" s="6">
        <v>50833</v>
      </c>
      <c r="E139" s="6">
        <v>51832</v>
      </c>
      <c r="F139" s="6">
        <v>54003</v>
      </c>
      <c r="G139" s="27">
        <f t="shared" si="14"/>
        <v>1.3866396260304059</v>
      </c>
      <c r="H139" s="11">
        <f t="shared" si="11"/>
        <v>0.37105264303005647</v>
      </c>
      <c r="I139" s="11">
        <f t="shared" si="12"/>
        <v>0.86694309987576101</v>
      </c>
      <c r="J139" s="11">
        <f t="shared" si="13"/>
        <v>0.6062721395411419</v>
      </c>
      <c r="K139" s="8"/>
      <c r="L139" s="8"/>
      <c r="Q139" s="16"/>
      <c r="R139" s="16"/>
      <c r="S139" s="16"/>
      <c r="T139" s="8"/>
      <c r="U139" s="8"/>
      <c r="V139" s="8"/>
      <c r="W139" s="8"/>
      <c r="X139" s="8"/>
      <c r="Y139" s="8"/>
      <c r="Z139" s="8"/>
      <c r="AA139" s="8"/>
      <c r="AE139" s="8"/>
    </row>
    <row r="140" spans="1:31" x14ac:dyDescent="0.2">
      <c r="A140" s="4" t="s">
        <v>116</v>
      </c>
      <c r="C140" s="25">
        <v>70985</v>
      </c>
      <c r="D140" s="6">
        <v>91428</v>
      </c>
      <c r="E140" s="6">
        <v>99779</v>
      </c>
      <c r="F140" s="6">
        <v>112658</v>
      </c>
      <c r="G140" s="27">
        <f t="shared" si="14"/>
        <v>2.5617078284177142</v>
      </c>
      <c r="H140" s="11">
        <f t="shared" si="11"/>
        <v>1.6772672346915485</v>
      </c>
      <c r="I140" s="11">
        <f t="shared" si="12"/>
        <v>2.586817938685626</v>
      </c>
      <c r="J140" s="11">
        <f t="shared" si="13"/>
        <v>2.1082503415591924</v>
      </c>
      <c r="K140" s="8"/>
      <c r="L140" s="8"/>
      <c r="Q140" s="16"/>
      <c r="R140" s="16"/>
      <c r="S140" s="16"/>
      <c r="T140" s="8"/>
      <c r="U140" s="8"/>
      <c r="V140" s="8"/>
      <c r="W140" s="8"/>
      <c r="X140" s="8"/>
      <c r="Y140" s="8"/>
      <c r="Z140" s="8"/>
      <c r="AA140" s="8"/>
      <c r="AE140" s="8"/>
    </row>
    <row r="141" spans="1:31" x14ac:dyDescent="0.2">
      <c r="A141" s="4" t="s">
        <v>105</v>
      </c>
      <c r="C141" s="25">
        <v>75498</v>
      </c>
      <c r="D141" s="6">
        <v>91599</v>
      </c>
      <c r="E141" s="6">
        <v>99712</v>
      </c>
      <c r="F141" s="6">
        <v>106265</v>
      </c>
      <c r="G141" s="27">
        <f t="shared" si="14"/>
        <v>1.9508687283686266</v>
      </c>
      <c r="H141" s="11">
        <f t="shared" si="11"/>
        <v>1.6281260168676814</v>
      </c>
      <c r="I141" s="11">
        <f t="shared" si="12"/>
        <v>1.3480385950394469</v>
      </c>
      <c r="J141" s="11">
        <f t="shared" si="13"/>
        <v>1.49500152616866</v>
      </c>
      <c r="K141" s="8"/>
      <c r="L141" s="8"/>
      <c r="Q141" s="16"/>
      <c r="R141" s="16"/>
      <c r="S141" s="16"/>
      <c r="T141" s="8"/>
      <c r="U141" s="8"/>
      <c r="V141" s="8"/>
      <c r="W141" s="8"/>
      <c r="X141" s="8"/>
      <c r="Y141" s="8"/>
      <c r="Z141" s="8"/>
      <c r="AA141" s="8"/>
      <c r="AE141" s="8"/>
    </row>
    <row r="142" spans="1:31" x14ac:dyDescent="0.2">
      <c r="A142" s="4" t="s">
        <v>106</v>
      </c>
      <c r="C142" s="25">
        <v>21252</v>
      </c>
      <c r="D142" s="6">
        <v>25186</v>
      </c>
      <c r="E142" s="6">
        <v>26884</v>
      </c>
      <c r="F142" s="6">
        <v>25448</v>
      </c>
      <c r="G142" s="27">
        <f t="shared" si="14"/>
        <v>1.7119310736551929</v>
      </c>
      <c r="H142" s="11">
        <f t="shared" si="11"/>
        <v>1.2493302328872691</v>
      </c>
      <c r="I142" s="11">
        <f t="shared" si="12"/>
        <v>-1.1481912946201267</v>
      </c>
      <c r="J142" s="11">
        <f t="shared" si="13"/>
        <v>0.10345718934912096</v>
      </c>
      <c r="K142" s="8"/>
      <c r="L142" s="8"/>
      <c r="Q142" s="16"/>
      <c r="R142" s="16"/>
      <c r="S142" s="16"/>
      <c r="T142" s="8"/>
      <c r="U142" s="8"/>
      <c r="V142" s="8"/>
      <c r="W142" s="8"/>
      <c r="X142" s="8"/>
      <c r="Y142" s="8"/>
      <c r="Z142" s="8"/>
      <c r="AA142" s="8"/>
      <c r="AE142" s="8"/>
    </row>
    <row r="143" spans="1:31" x14ac:dyDescent="0.2">
      <c r="C143" s="25"/>
      <c r="D143" s="6"/>
      <c r="E143" s="6"/>
      <c r="F143" s="6"/>
      <c r="G143" s="27"/>
      <c r="H143" s="11"/>
      <c r="I143" s="11"/>
      <c r="J143" s="11"/>
      <c r="K143" s="8"/>
      <c r="L143" s="8"/>
      <c r="T143" s="8"/>
      <c r="U143" s="8"/>
      <c r="V143" s="8"/>
      <c r="W143" s="8"/>
      <c r="X143" s="8"/>
      <c r="Y143" s="8"/>
      <c r="Z143" s="8"/>
      <c r="AA143" s="8"/>
      <c r="AE143" s="8"/>
    </row>
    <row r="144" spans="1:31" s="8" customFormat="1" x14ac:dyDescent="0.2">
      <c r="A144" s="8" t="s">
        <v>136</v>
      </c>
      <c r="C144" s="26">
        <v>196075</v>
      </c>
      <c r="D144" s="9">
        <v>246392</v>
      </c>
      <c r="E144" s="9">
        <v>266248</v>
      </c>
      <c r="F144" s="9">
        <v>278924</v>
      </c>
      <c r="G144" s="28">
        <f t="shared" si="14"/>
        <v>2.3092745100925516</v>
      </c>
      <c r="H144" s="10">
        <f>(((E144/D144)^(1/(($E$5-$D$5)/365))-1)*100)</f>
        <v>1.4858588516500904</v>
      </c>
      <c r="I144" s="10">
        <f>(((F144/E144)^(1/(($F$5-$E$5)/365))-1)*100)</f>
        <v>0.98327912263753703</v>
      </c>
      <c r="J144" s="10">
        <f>(((F144/D144)^(1/(($F$5-$D$5)/365))-1)*100)</f>
        <v>1.2468464436168114</v>
      </c>
      <c r="M144" s="4"/>
      <c r="N144" s="6"/>
      <c r="O144" s="6"/>
      <c r="P144" s="6"/>
      <c r="Q144" s="16"/>
      <c r="R144" s="16"/>
      <c r="S144" s="16"/>
      <c r="AB144" s="4"/>
      <c r="AC144" s="4"/>
      <c r="AD144" s="4"/>
    </row>
    <row r="145" spans="1:31" x14ac:dyDescent="0.2">
      <c r="C145" s="25"/>
      <c r="D145" s="6"/>
      <c r="E145" s="6"/>
      <c r="F145" s="6"/>
      <c r="G145" s="27"/>
      <c r="H145" s="11"/>
      <c r="I145" s="11"/>
      <c r="J145" s="11"/>
      <c r="K145" s="8"/>
      <c r="L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s="8" customFormat="1" x14ac:dyDescent="0.2">
      <c r="A146" s="8" t="s">
        <v>123</v>
      </c>
      <c r="C146" s="9">
        <f>SUM(C147:C160)</f>
        <v>1707218</v>
      </c>
      <c r="D146" s="9">
        <f>SUM(D147:D160)</f>
        <v>2484840</v>
      </c>
      <c r="E146" s="9">
        <f>SUM(E147:E160)</f>
        <v>2884227</v>
      </c>
      <c r="F146" s="9">
        <f>SUM(F147:F160)</f>
        <v>3330143</v>
      </c>
      <c r="G146" s="28">
        <f t="shared" si="14"/>
        <v>3.8226279990665635</v>
      </c>
      <c r="H146" s="10">
        <f t="shared" ref="H146:H160" si="15">(((E146/D146)^(1/(($E$5-$D$5)/365))-1)*100)</f>
        <v>2.8770414265998578</v>
      </c>
      <c r="I146" s="10">
        <f t="shared" ref="I146:I160" si="16">(((F146/E146)^(1/(($F$5-$E$5)/365))-1)*100)</f>
        <v>3.0705072737930994</v>
      </c>
      <c r="J146" s="10">
        <f t="shared" ref="J146:J160" si="17">(((F146/D146)^(1/(($F$5-$D$5)/365))-1)*100)</f>
        <v>2.9688831154454531</v>
      </c>
      <c r="M146" s="4"/>
      <c r="N146" s="6"/>
      <c r="O146" s="6"/>
      <c r="P146" s="6"/>
      <c r="Q146" s="16"/>
      <c r="R146" s="16"/>
      <c r="S146" s="16"/>
      <c r="AB146" s="4"/>
      <c r="AC146" s="4"/>
      <c r="AD146" s="4"/>
    </row>
    <row r="147" spans="1:31" x14ac:dyDescent="0.2">
      <c r="A147" s="4" t="s">
        <v>107</v>
      </c>
      <c r="C147" s="25">
        <v>74668</v>
      </c>
      <c r="D147" s="6">
        <v>102407</v>
      </c>
      <c r="E147" s="6">
        <v>113283</v>
      </c>
      <c r="F147" s="6">
        <v>130494</v>
      </c>
      <c r="G147" s="27">
        <f t="shared" si="14"/>
        <v>3.2076760527019355</v>
      </c>
      <c r="H147" s="11">
        <f t="shared" si="15"/>
        <v>1.9393650720207489</v>
      </c>
      <c r="I147" s="11">
        <f t="shared" si="16"/>
        <v>3.0202100344600691</v>
      </c>
      <c r="J147" s="11">
        <f t="shared" si="17"/>
        <v>2.4512933950708637</v>
      </c>
      <c r="K147" s="8"/>
      <c r="L147" s="8"/>
      <c r="Q147" s="16"/>
      <c r="R147" s="16"/>
      <c r="S147" s="16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x14ac:dyDescent="0.2">
      <c r="A148" s="4" t="s">
        <v>148</v>
      </c>
      <c r="C148" s="25">
        <v>470866</v>
      </c>
      <c r="D148" s="6">
        <v>677741</v>
      </c>
      <c r="E148" s="6">
        <v>776386</v>
      </c>
      <c r="F148" s="6">
        <v>887399</v>
      </c>
      <c r="G148" s="27">
        <f t="shared" si="14"/>
        <v>3.706978377045167</v>
      </c>
      <c r="H148" s="11">
        <f t="shared" si="15"/>
        <v>2.619641618621249</v>
      </c>
      <c r="I148" s="11">
        <f t="shared" si="16"/>
        <v>2.8514467068087468</v>
      </c>
      <c r="J148" s="11">
        <f t="shared" si="17"/>
        <v>2.7296727174363156</v>
      </c>
      <c r="K148" s="8"/>
      <c r="L148" s="8"/>
      <c r="Q148" s="16"/>
      <c r="R148" s="16"/>
      <c r="S148" s="16"/>
      <c r="T148" s="8"/>
      <c r="U148" s="8"/>
      <c r="V148" s="8"/>
      <c r="W148" s="8"/>
      <c r="X148" s="8"/>
      <c r="Y148" s="8"/>
      <c r="Z148" s="8"/>
      <c r="AA148" s="8"/>
      <c r="AE148" s="8"/>
    </row>
    <row r="149" spans="1:31" x14ac:dyDescent="0.2">
      <c r="A149" s="4" t="s">
        <v>108</v>
      </c>
      <c r="C149" s="25">
        <v>24514</v>
      </c>
      <c r="D149" s="6">
        <v>32609</v>
      </c>
      <c r="E149" s="6">
        <v>69300</v>
      </c>
      <c r="F149" s="6">
        <v>87637</v>
      </c>
      <c r="G149" s="27">
        <f t="shared" si="14"/>
        <v>2.8929320956099902</v>
      </c>
      <c r="H149" s="11">
        <f t="shared" si="15"/>
        <v>15.426146545964169</v>
      </c>
      <c r="I149" s="11">
        <f t="shared" si="16"/>
        <v>5.0627084246282816</v>
      </c>
      <c r="J149" s="11">
        <f t="shared" si="17"/>
        <v>10.382377016306176</v>
      </c>
      <c r="K149" s="8"/>
      <c r="L149" s="8"/>
      <c r="Q149" s="16"/>
      <c r="R149" s="16"/>
      <c r="S149" s="16"/>
      <c r="T149" s="8"/>
      <c r="U149" s="8"/>
      <c r="V149" s="8"/>
      <c r="W149" s="8"/>
      <c r="X149" s="8"/>
      <c r="Y149" s="8"/>
      <c r="Z149" s="8"/>
      <c r="AA149" s="8"/>
      <c r="AE149" s="8"/>
    </row>
    <row r="150" spans="1:31" x14ac:dyDescent="0.2">
      <c r="A150" s="4" t="s">
        <v>110</v>
      </c>
      <c r="C150" s="25">
        <v>187691</v>
      </c>
      <c r="D150" s="6">
        <v>249872</v>
      </c>
      <c r="E150" s="6">
        <v>282474</v>
      </c>
      <c r="F150" s="6">
        <v>313631</v>
      </c>
      <c r="G150" s="27">
        <f t="shared" si="14"/>
        <v>2.901240106855818</v>
      </c>
      <c r="H150" s="11">
        <f t="shared" si="15"/>
        <v>2.361272111276258</v>
      </c>
      <c r="I150" s="11">
        <f t="shared" si="16"/>
        <v>2.2255673209893745</v>
      </c>
      <c r="J150" s="11">
        <f t="shared" si="17"/>
        <v>2.2967963895296872</v>
      </c>
      <c r="K150" s="8"/>
      <c r="L150" s="8"/>
      <c r="M150" s="8"/>
      <c r="N150" s="9"/>
      <c r="O150" s="9"/>
      <c r="P150" s="9"/>
      <c r="Q150" s="15"/>
      <c r="R150" s="15"/>
      <c r="S150" s="15"/>
      <c r="T150" s="8"/>
      <c r="U150" s="8"/>
      <c r="V150" s="8"/>
      <c r="W150" s="8"/>
      <c r="X150" s="8"/>
      <c r="Y150" s="8"/>
      <c r="Z150" s="8"/>
      <c r="AA150" s="8"/>
      <c r="AE150" s="8"/>
    </row>
    <row r="151" spans="1:31" x14ac:dyDescent="0.2">
      <c r="A151" s="4" t="s">
        <v>111</v>
      </c>
      <c r="C151" s="25">
        <v>242511</v>
      </c>
      <c r="D151" s="6">
        <v>311845</v>
      </c>
      <c r="E151" s="6">
        <v>322128</v>
      </c>
      <c r="F151" s="6">
        <v>376933</v>
      </c>
      <c r="G151" s="27">
        <f t="shared" si="14"/>
        <v>2.5450623734232236</v>
      </c>
      <c r="H151" s="11">
        <f t="shared" si="15"/>
        <v>0.61930239783387631</v>
      </c>
      <c r="I151" s="11">
        <f t="shared" si="16"/>
        <v>3.3606085478772085</v>
      </c>
      <c r="J151" s="11">
        <f t="shared" si="17"/>
        <v>1.9121060840618043</v>
      </c>
      <c r="K151" s="8"/>
      <c r="L151" s="8"/>
      <c r="Q151" s="16"/>
      <c r="R151" s="16"/>
      <c r="S151" s="16"/>
      <c r="T151" s="8"/>
      <c r="U151" s="8"/>
      <c r="V151" s="8"/>
      <c r="W151" s="8"/>
      <c r="X151" s="8"/>
      <c r="Y151" s="8"/>
      <c r="Z151" s="8"/>
      <c r="AA151" s="8"/>
      <c r="AE151" s="8"/>
    </row>
    <row r="152" spans="1:31" x14ac:dyDescent="0.2">
      <c r="A152" s="4" t="s">
        <v>112</v>
      </c>
      <c r="C152" s="25">
        <v>39003</v>
      </c>
      <c r="D152" s="6">
        <v>47414</v>
      </c>
      <c r="E152" s="6">
        <v>49034</v>
      </c>
      <c r="F152" s="6">
        <v>50143</v>
      </c>
      <c r="G152" s="27">
        <f t="shared" si="14"/>
        <v>1.9708909161107568</v>
      </c>
      <c r="H152" s="11">
        <f t="shared" si="15"/>
        <v>0.64139557201883246</v>
      </c>
      <c r="I152" s="11">
        <f t="shared" si="16"/>
        <v>0.47161123880916644</v>
      </c>
      <c r="J152" s="11">
        <f t="shared" si="17"/>
        <v>0.56072040283969837</v>
      </c>
      <c r="K152" s="8"/>
      <c r="L152" s="8"/>
      <c r="M152" s="8"/>
      <c r="N152" s="9"/>
      <c r="O152" s="9"/>
      <c r="P152" s="9"/>
      <c r="Q152" s="15"/>
      <c r="R152" s="15"/>
      <c r="S152" s="15"/>
      <c r="T152" s="8"/>
      <c r="U152" s="8"/>
      <c r="V152" s="8"/>
      <c r="W152" s="8"/>
      <c r="X152" s="8"/>
      <c r="Y152" s="8"/>
      <c r="Z152" s="8"/>
      <c r="AA152" s="8"/>
      <c r="AE152" s="8"/>
    </row>
    <row r="153" spans="1:31" x14ac:dyDescent="0.2">
      <c r="A153" s="4" t="s">
        <v>113</v>
      </c>
      <c r="C153" s="25">
        <v>23280</v>
      </c>
      <c r="D153" s="6">
        <v>30074</v>
      </c>
      <c r="E153" s="6">
        <v>32254</v>
      </c>
      <c r="F153" s="6">
        <v>34017</v>
      </c>
      <c r="G153" s="27">
        <f t="shared" si="14"/>
        <v>2.5922918206658707</v>
      </c>
      <c r="H153" s="11">
        <f t="shared" si="15"/>
        <v>1.340663640519435</v>
      </c>
      <c r="I153" s="11">
        <f t="shared" si="16"/>
        <v>1.1258695032226429</v>
      </c>
      <c r="J153" s="11">
        <f t="shared" si="17"/>
        <v>1.2385898890554969</v>
      </c>
      <c r="K153" s="8"/>
      <c r="L153" s="8"/>
      <c r="Q153" s="16"/>
      <c r="R153" s="16"/>
      <c r="S153" s="16"/>
      <c r="T153" s="8"/>
      <c r="U153" s="8"/>
      <c r="V153" s="8"/>
      <c r="W153" s="8"/>
      <c r="X153" s="8"/>
      <c r="Y153" s="8"/>
      <c r="Z153" s="8"/>
      <c r="AA153" s="8"/>
      <c r="AE153" s="8"/>
    </row>
    <row r="154" spans="1:31" x14ac:dyDescent="0.2">
      <c r="A154" s="4" t="s">
        <v>57</v>
      </c>
      <c r="C154" s="25">
        <v>115167</v>
      </c>
      <c r="D154" s="6">
        <v>280904</v>
      </c>
      <c r="E154" s="6">
        <v>369222</v>
      </c>
      <c r="F154" s="6">
        <v>443954</v>
      </c>
      <c r="G154" s="27">
        <f t="shared" si="14"/>
        <v>9.3205430776327027</v>
      </c>
      <c r="H154" s="11">
        <f t="shared" si="15"/>
        <v>5.3402965350111797</v>
      </c>
      <c r="I154" s="11">
        <f t="shared" si="16"/>
        <v>3.9538491177606661</v>
      </c>
      <c r="J154" s="11">
        <f t="shared" si="17"/>
        <v>4.6795098201090735</v>
      </c>
      <c r="K154" s="8"/>
      <c r="L154" s="8"/>
      <c r="Q154" s="16"/>
      <c r="R154" s="16"/>
      <c r="S154" s="16"/>
      <c r="T154" s="8"/>
      <c r="U154" s="8"/>
      <c r="V154" s="8"/>
      <c r="W154" s="8"/>
      <c r="X154" s="8"/>
      <c r="Y154" s="8"/>
      <c r="Z154" s="8"/>
      <c r="AA154" s="8"/>
      <c r="AE154" s="8"/>
    </row>
    <row r="155" spans="1:31" x14ac:dyDescent="0.2">
      <c r="A155" s="4" t="s">
        <v>114</v>
      </c>
      <c r="C155" s="25">
        <v>42489</v>
      </c>
      <c r="D155" s="6">
        <v>52194</v>
      </c>
      <c r="E155" s="6">
        <v>58118</v>
      </c>
      <c r="F155" s="6">
        <v>71151</v>
      </c>
      <c r="G155" s="27">
        <f t="shared" si="14"/>
        <v>2.0773799252326253</v>
      </c>
      <c r="H155" s="11">
        <f t="shared" si="15"/>
        <v>2.0669727637637747</v>
      </c>
      <c r="I155" s="11">
        <f t="shared" si="16"/>
        <v>4.3483755966881699</v>
      </c>
      <c r="J155" s="11">
        <f t="shared" si="17"/>
        <v>3.1442428117814281</v>
      </c>
      <c r="K155" s="8"/>
      <c r="L155" s="8"/>
      <c r="Q155" s="16"/>
      <c r="R155" s="16"/>
      <c r="S155" s="16"/>
      <c r="T155" s="8"/>
      <c r="U155" s="8"/>
      <c r="V155" s="8"/>
      <c r="W155" s="8"/>
      <c r="X155" s="8"/>
      <c r="Y155" s="8"/>
      <c r="Z155" s="8"/>
      <c r="AA155" s="8"/>
      <c r="AE155" s="8"/>
    </row>
    <row r="156" spans="1:31" x14ac:dyDescent="0.2">
      <c r="A156" s="4" t="s">
        <v>49</v>
      </c>
      <c r="C156" s="25">
        <v>45275</v>
      </c>
      <c r="D156" s="6">
        <v>59527</v>
      </c>
      <c r="E156" s="6">
        <v>64812</v>
      </c>
      <c r="F156" s="6">
        <v>71535</v>
      </c>
      <c r="G156" s="27">
        <f t="shared" si="14"/>
        <v>2.773002511598599</v>
      </c>
      <c r="H156" s="11">
        <f t="shared" si="15"/>
        <v>1.6318994139792764</v>
      </c>
      <c r="I156" s="11">
        <f t="shared" si="16"/>
        <v>2.0980203802502428</v>
      </c>
      <c r="J156" s="11">
        <f t="shared" si="17"/>
        <v>1.8530186082438949</v>
      </c>
      <c r="K156" s="8"/>
      <c r="L156" s="8"/>
      <c r="Q156" s="16"/>
      <c r="R156" s="16"/>
      <c r="S156" s="16"/>
      <c r="T156" s="8"/>
      <c r="U156" s="8"/>
      <c r="V156" s="8"/>
      <c r="W156" s="8"/>
      <c r="X156" s="8"/>
      <c r="Y156" s="8"/>
      <c r="Z156" s="8"/>
      <c r="AA156" s="8"/>
      <c r="AE156" s="8"/>
    </row>
    <row r="157" spans="1:31" x14ac:dyDescent="0.2">
      <c r="A157" s="4" t="s">
        <v>56</v>
      </c>
      <c r="C157" s="25">
        <v>135603</v>
      </c>
      <c r="D157" s="6">
        <v>205255</v>
      </c>
      <c r="E157" s="6">
        <v>252527</v>
      </c>
      <c r="F157" s="6">
        <v>273306</v>
      </c>
      <c r="G157" s="27">
        <f t="shared" si="14"/>
        <v>4.2299635304087202</v>
      </c>
      <c r="H157" s="11">
        <f t="shared" si="15"/>
        <v>4.0231244567462632</v>
      </c>
      <c r="I157" s="11">
        <f t="shared" si="16"/>
        <v>1.6774271861935697</v>
      </c>
      <c r="J157" s="11">
        <f t="shared" si="17"/>
        <v>2.9023586566232495</v>
      </c>
      <c r="K157" s="8"/>
      <c r="L157" s="8"/>
      <c r="Q157" s="16"/>
      <c r="R157" s="16"/>
      <c r="S157" s="16"/>
      <c r="T157" s="8"/>
      <c r="U157" s="8"/>
      <c r="V157" s="8"/>
      <c r="W157" s="8"/>
      <c r="X157" s="8"/>
      <c r="Y157" s="8"/>
      <c r="Z157" s="8"/>
      <c r="AA157" s="8"/>
      <c r="AE157" s="8"/>
    </row>
    <row r="158" spans="1:31" x14ac:dyDescent="0.2">
      <c r="A158" s="4" t="s">
        <v>50</v>
      </c>
      <c r="C158" s="25">
        <v>78223</v>
      </c>
      <c r="D158" s="6">
        <v>98879</v>
      </c>
      <c r="E158" s="6">
        <v>117830</v>
      </c>
      <c r="F158" s="6">
        <v>139420</v>
      </c>
      <c r="G158" s="27">
        <f t="shared" si="14"/>
        <v>2.3696895899336212</v>
      </c>
      <c r="H158" s="11">
        <f t="shared" si="15"/>
        <v>3.3931751483521122</v>
      </c>
      <c r="I158" s="11">
        <f t="shared" si="16"/>
        <v>3.6028987234009824</v>
      </c>
      <c r="J158" s="11">
        <f t="shared" si="17"/>
        <v>3.4927308119611089</v>
      </c>
      <c r="K158" s="8"/>
      <c r="L158" s="8"/>
      <c r="Q158" s="16"/>
      <c r="R158" s="16"/>
      <c r="S158" s="16"/>
      <c r="T158" s="8"/>
      <c r="U158" s="8"/>
      <c r="V158" s="8"/>
      <c r="W158" s="8"/>
      <c r="X158" s="8"/>
      <c r="Y158" s="8"/>
      <c r="Z158" s="8"/>
      <c r="AA158" s="8"/>
      <c r="AE158" s="8"/>
    </row>
    <row r="159" spans="1:31" x14ac:dyDescent="0.2">
      <c r="A159" s="4" t="s">
        <v>51</v>
      </c>
      <c r="C159" s="25">
        <v>198183</v>
      </c>
      <c r="D159" s="6">
        <v>288956</v>
      </c>
      <c r="E159" s="6">
        <v>319104</v>
      </c>
      <c r="F159" s="6">
        <v>386451</v>
      </c>
      <c r="G159" s="27">
        <f t="shared" si="14"/>
        <v>3.8406895357609994</v>
      </c>
      <c r="H159" s="11">
        <f t="shared" si="15"/>
        <v>1.9065583292151134</v>
      </c>
      <c r="I159" s="11">
        <f t="shared" si="16"/>
        <v>4.1106637244901822</v>
      </c>
      <c r="J159" s="11">
        <f t="shared" si="17"/>
        <v>2.9475232432778276</v>
      </c>
      <c r="K159" s="8"/>
      <c r="L159" s="8"/>
      <c r="Q159" s="16"/>
      <c r="R159" s="16"/>
      <c r="S159" s="16"/>
      <c r="T159" s="8"/>
      <c r="U159" s="8"/>
      <c r="V159" s="8"/>
      <c r="W159" s="8"/>
      <c r="X159" s="8"/>
      <c r="Y159" s="8"/>
      <c r="Z159" s="8"/>
      <c r="AA159" s="8"/>
      <c r="AE159" s="8"/>
    </row>
    <row r="160" spans="1:31" x14ac:dyDescent="0.2">
      <c r="A160" s="4" t="s">
        <v>52</v>
      </c>
      <c r="C160" s="25">
        <v>29745</v>
      </c>
      <c r="D160" s="6">
        <v>47163</v>
      </c>
      <c r="E160" s="6">
        <v>57755</v>
      </c>
      <c r="F160" s="6">
        <v>64072</v>
      </c>
      <c r="G160" s="27">
        <f t="shared" si="14"/>
        <v>4.7147310811237686</v>
      </c>
      <c r="H160" s="11">
        <f t="shared" si="15"/>
        <v>3.9308212317036517</v>
      </c>
      <c r="I160" s="11">
        <f t="shared" si="16"/>
        <v>2.2076525327856755</v>
      </c>
      <c r="J160" s="11">
        <f t="shared" si="17"/>
        <v>3.1088060113039662</v>
      </c>
      <c r="K160" s="8"/>
      <c r="L160" s="8"/>
      <c r="Q160" s="16"/>
      <c r="R160" s="16"/>
      <c r="S160" s="16"/>
      <c r="T160" s="8"/>
      <c r="U160" s="8"/>
      <c r="V160" s="8"/>
      <c r="W160" s="8"/>
      <c r="X160" s="8"/>
      <c r="Y160" s="8"/>
      <c r="Z160" s="8"/>
      <c r="AA160" s="8"/>
      <c r="AE160" s="8"/>
    </row>
    <row r="161" spans="1:30" x14ac:dyDescent="0.2">
      <c r="C161" s="12"/>
      <c r="D161" s="12"/>
      <c r="E161" s="12"/>
      <c r="F161" s="12"/>
      <c r="G161" s="12"/>
      <c r="H161" s="12"/>
      <c r="I161" s="12"/>
      <c r="J161" s="12"/>
    </row>
    <row r="162" spans="1:30" x14ac:dyDescent="0.2">
      <c r="A162" s="13"/>
      <c r="B162" s="13"/>
    </row>
    <row r="163" spans="1:30" x14ac:dyDescent="0.2">
      <c r="A163" s="1" t="s">
        <v>149</v>
      </c>
      <c r="B163" s="1"/>
      <c r="C163" s="1"/>
      <c r="Q163" s="7"/>
      <c r="R163" s="7"/>
      <c r="S163" s="7"/>
      <c r="T163" s="7"/>
    </row>
    <row r="164" spans="1:30" x14ac:dyDescent="0.2">
      <c r="A164" s="3" t="s">
        <v>140</v>
      </c>
      <c r="B164" s="2"/>
      <c r="C164" s="2"/>
      <c r="Q164" s="7"/>
      <c r="R164" s="7"/>
      <c r="S164" s="7"/>
      <c r="T164" s="7"/>
    </row>
    <row r="165" spans="1:30" ht="13.5" x14ac:dyDescent="0.2">
      <c r="A165" s="3" t="s">
        <v>158</v>
      </c>
    </row>
    <row r="166" spans="1:30" x14ac:dyDescent="0.2">
      <c r="A166" s="3"/>
    </row>
    <row r="167" spans="1:30" x14ac:dyDescent="0.2">
      <c r="A167" s="22" t="s">
        <v>133</v>
      </c>
    </row>
    <row r="168" spans="1:30" x14ac:dyDescent="0.2">
      <c r="A168" s="14" t="s">
        <v>160</v>
      </c>
    </row>
    <row r="169" spans="1:30" x14ac:dyDescent="0.2">
      <c r="A169" s="14" t="s">
        <v>150</v>
      </c>
    </row>
    <row r="170" spans="1:30" x14ac:dyDescent="0.2">
      <c r="A170" s="14" t="s">
        <v>151</v>
      </c>
    </row>
    <row r="171" spans="1:30" x14ac:dyDescent="0.2">
      <c r="A171" s="14" t="s">
        <v>152</v>
      </c>
    </row>
    <row r="172" spans="1:30" s="20" customFormat="1" ht="15.6" customHeight="1" x14ac:dyDescent="0.2">
      <c r="A172" s="17"/>
      <c r="B172" s="4"/>
      <c r="C172" s="4"/>
      <c r="D172" s="18"/>
      <c r="E172" s="19"/>
      <c r="N172" s="19"/>
      <c r="O172" s="19"/>
      <c r="P172" s="19"/>
      <c r="AB172" s="4"/>
      <c r="AC172" s="4"/>
      <c r="AD172" s="4"/>
    </row>
    <row r="173" spans="1:30" s="20" customFormat="1" ht="15.6" customHeight="1" x14ac:dyDescent="0.2">
      <c r="A173" s="17"/>
      <c r="B173" s="4"/>
      <c r="C173" s="4"/>
      <c r="E173" s="19"/>
      <c r="N173" s="19"/>
      <c r="O173" s="19"/>
      <c r="P173" s="19"/>
    </row>
    <row r="174" spans="1:30" s="20" customFormat="1" ht="15.6" customHeight="1" x14ac:dyDescent="0.2">
      <c r="A174" s="17"/>
      <c r="D174" s="21"/>
      <c r="E174" s="19"/>
      <c r="N174" s="19"/>
      <c r="O174" s="19"/>
      <c r="P174" s="19"/>
    </row>
    <row r="175" spans="1:30" x14ac:dyDescent="0.2">
      <c r="AB175" s="20"/>
      <c r="AC175" s="20"/>
      <c r="AD175" s="20"/>
    </row>
  </sheetData>
  <mergeCells count="5">
    <mergeCell ref="A1:J1"/>
    <mergeCell ref="A2:J2"/>
    <mergeCell ref="A4:B5"/>
    <mergeCell ref="C4:F4"/>
    <mergeCell ref="G4:J4"/>
  </mergeCells>
  <conditionalFormatting sqref="K163:O164">
    <cfRule type="containsText" dxfId="3" priority="7" operator="containsText" text="FALSE">
      <formula>NOT(ISERROR(SEARCH("FALSE",K163)))</formula>
    </cfRule>
  </conditionalFormatting>
  <conditionalFormatting sqref="T163:Z164">
    <cfRule type="containsText" dxfId="2" priority="5" operator="containsText" text="false">
      <formula>NOT(ISERROR(SEARCH("false",T163)))</formula>
    </cfRule>
  </conditionalFormatting>
  <conditionalFormatting sqref="T7:AA160">
    <cfRule type="containsText" dxfId="1" priority="3" operator="containsText" text="false">
      <formula>NOT(ISERROR(SEARCH("false",T7)))</formula>
    </cfRule>
  </conditionalFormatting>
  <conditionalFormatting sqref="AE7:AE160">
    <cfRule type="containsText" dxfId="0" priority="1" operator="containsText" text="false">
      <formula>NOT(ISERROR(SEARCH("false",AE7)))</formula>
    </cfRule>
  </conditionalFormatting>
  <printOptions horizontalCentered="1"/>
  <pageMargins left="0.55118110236220474" right="0.55118110236220474" top="0.74803149606299213" bottom="0.74803149606299213" header="0.31496062992125984" footer="0.31496062992125984"/>
  <pageSetup scale="80" orientation="portrait" r:id="rId1"/>
  <headerFooter differentOddEven="1">
    <oddHeader>&amp;L&amp;"Arial,Bold Italic"2020 Census of Population and Housing&amp;R&amp;"Arial,Bold Italic"Summary Table</oddHeader>
    <oddFooter>&amp;L&amp;"Arial,Bold Italic"Philippine Statistics Authority</oddFooter>
    <evenHeader>&amp;L&amp;"Arial,Bold Italic"Summary Table&amp;R&amp;"Arial,Bold Italic"2020 Census of Population and Housing</evenHeader>
    <evenFooter>&amp;R&amp;"Arial,Bold Italic"Philippine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R04A</vt:lpstr>
      <vt:lpstr>'R04A'!Print_Area</vt:lpstr>
      <vt:lpstr>'R04A'!Print_Titles</vt:lpstr>
    </vt:vector>
  </TitlesOfParts>
  <Company>National Statistical Coordination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PSA-JJ</dc:creator>
  <cp:lastModifiedBy>Sky-Kaiji</cp:lastModifiedBy>
  <cp:lastPrinted>2021-05-21T00:58:23Z</cp:lastPrinted>
  <dcterms:created xsi:type="dcterms:W3CDTF">2008-05-22T10:12:21Z</dcterms:created>
  <dcterms:modified xsi:type="dcterms:W3CDTF">2026-08-03T09:16:45Z</dcterms:modified>
</cp:coreProperties>
</file>